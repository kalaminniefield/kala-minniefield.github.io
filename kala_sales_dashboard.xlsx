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Monthly Summary" sheetId="2" state="visible" r:id="rId4"/>
    <sheet name="Regional Break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<sst xmlns="http://schemas.openxmlformats.org/spreadsheetml/2006/main" count="647" uniqueCount="52">
  <si>
    <t xml:space="preserve">Month</t>
  </si>
  <si>
    <t xml:space="preserve">Product</t>
  </si>
  <si>
    <t xml:space="preserve">Units Sold</t>
  </si>
  <si>
    <t xml:space="preserve">Unit Price ($)</t>
  </si>
  <si>
    <t xml:space="preserve">Revenue ($)</t>
  </si>
  <si>
    <t xml:space="preserve">Region</t>
  </si>
  <si>
    <t xml:space="preserve">Sales Rep</t>
  </si>
  <si>
    <t xml:space="preserve">Customer Segment</t>
  </si>
  <si>
    <t xml:space="preserve">Jan 2025</t>
  </si>
  <si>
    <t xml:space="preserve">CloudSync Pro</t>
  </si>
  <si>
    <t xml:space="preserve">Southeast</t>
  </si>
  <si>
    <t xml:space="preserve">Jordan Lee</t>
  </si>
  <si>
    <t xml:space="preserve">Startup</t>
  </si>
  <si>
    <t xml:space="preserve">Northeast</t>
  </si>
  <si>
    <t xml:space="preserve">Marcus Chen</t>
  </si>
  <si>
    <t xml:space="preserve">Enterprise</t>
  </si>
  <si>
    <t xml:space="preserve">Midwest</t>
  </si>
  <si>
    <t xml:space="preserve">West</t>
  </si>
  <si>
    <t xml:space="preserve">DataVault</t>
  </si>
  <si>
    <t xml:space="preserve">Sam Rivera</t>
  </si>
  <si>
    <t xml:space="preserve">SMB</t>
  </si>
  <si>
    <t xml:space="preserve">SecureAPI</t>
  </si>
  <si>
    <t xml:space="preserve">Taylor Brooks</t>
  </si>
  <si>
    <t xml:space="preserve">Priya Patel</t>
  </si>
  <si>
    <t xml:space="preserve">AI Assist</t>
  </si>
  <si>
    <t xml:space="preserve">TeamFlow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</si>
  <si>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</si>
  <si>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</si>
  <si>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</si>
  <si>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</si>
  <si>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</si>
  <si>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TechCo Sales Performance Dashboard — H1 2025</t>
  </si>
  <si>
    <t xml:space="preserve">Prepared by: Kala Minniefield  |  Business Analyst  |  kala.minniefield@gmail.com</t>
  </si>
  <si>
    <t xml:space="preserve">Total Revenue</t>
  </si>
  <si>
    <t xml:space="preserve">Total Units Sold</t>
  </si>
  <si>
    <t xml:space="preserve">Avg Monthly Revenue</t>
  </si>
  <si>
    <t xml:space="preserve">Top Product</t>
  </si>
  <si>
    <t xml:space="preserve">Jan–Jun 2025</t>
  </si>
  <si>
    <t xml:space="preserve">All Products</t>
  </si>
  <si>
    <t xml:space="preserve">6-Month Period</t>
  </si>
  <si>
    <t xml:space="preserve">By Revenue</t>
  </si>
  <si>
    <t xml:space="preserve">Monthly Revenue by Product</t>
  </si>
  <si>
    <t xml:space="preserve">Monthly Total</t>
  </si>
  <si>
    <t xml:space="preserve">TOTAL</t>
  </si>
  <si>
    <t xml:space="preserve">Revenue by Region — H1 2025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</si>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</sst>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6B6B"/>
      <name val="Arial"/>
      <family val="0"/>
      <charset val="1"/>
    </font>
    <font>
      <b val="true"/>
      <sz val="18"/>
      <color rgb="FF06D6A0"/>
      <name val="Arial"/>
      <family val="0"/>
      <charset val="1"/>
    </font>
    <font>
      <b val="true"/>
      <sz val="18"/>
      <color rgb="FF845EC2"/>
      <name val="Arial"/>
      <family val="0"/>
      <charset val="1"/>
    </font>
    <font>
      <b val="true"/>
      <sz val="13"/>
      <color rgb="FF1A1A2E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FFF"/>
        <bgColor rgb="FFF9F9F9"/>
      </patternFill>
    </fill>
    <fill>
      <patternFill patternType="solid">
        <fgColor rgb="FFFFF8F0"/>
        <bgColor rgb="FFF9F9F9"/>
      </patternFill>
    </fill>
    <fill>
      <patternFill patternType="solid">
        <fgColor rgb="FFFF6B6B"/>
        <bgColor rgb="FFF79646"/>
      </patternFill>
    </fill>
    <fill>
      <patternFill patternType="solid">
        <fgColor rgb="FF06D6A0"/>
        <bgColor rgb="FF00FFFF"/>
      </patternFill>
    </fill>
    <fill>
      <patternFill patternType="solid">
        <fgColor rgb="FF845EC2"/>
        <bgColor rgb="FF8064A2"/>
      </patternFill>
    </fill>
    <fill>
      <patternFill patternType="solid">
        <fgColor rgb="FFFFD166"/>
        <bgColor rgb="FFFFCC00"/>
      </patternFill>
    </fill>
    <fill>
      <patternFill patternType="solid">
        <fgColor rgb="FFF5F5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8F0"/>
      <rgbColor rgb="FFF5F5F5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D6A0"/>
      <rgbColor rgb="FFF9F9F9"/>
      <rgbColor rgb="FFCCFFCC"/>
      <rgbColor rgb="FFFFFF99"/>
      <rgbColor rgb="FF99CCFF"/>
      <rgbColor rgb="FFFF99CC"/>
      <rgbColor rgb="FFCC99FF"/>
      <rgbColor rgb="FFFFD166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845EC2"/>
      <rgbColor rgb="FF555555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Summary'!B9</c:f>
              <c:strCache>
                <c:ptCount val="1"/>
                <c:pt idx="0">
                  <c:v>CloudSync Pro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Summary'!$A$10:$A$15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'Monthly Summary'!$B$10:$B$15</c:f>
              <c:numCache>
                <c:formatCode>\$#,##0</c:formatCode>
                <c:ptCount val="6"/>
                <c:pt idx="0">
                  <c:v>52325</c:v>
                </c:pt>
                <c:pt idx="1">
                  <c:v>58305</c:v>
                </c:pt>
                <c:pt idx="2">
                  <c:v>39767</c:v>
                </c:pt>
                <c:pt idx="3">
                  <c:v>63388</c:v>
                </c:pt>
                <c:pt idx="4">
                  <c:v>72956</c:v>
                </c:pt>
                <c:pt idx="5">
                  <c:v>36179</c:v>
                </c:pt>
              </c:numCache>
            </c:numRef>
          </c:val>
        </c:ser>
        <c:ser>
          <c:idx val="1"/>
          <c:order val="1"/>
          <c:tx>
            <c:strRef>
              <c:f>'Monthly Summary'!C9</c:f>
              <c:strCache>
                <c:ptCount val="1"/>
                <c:pt idx="0">
                  <c:v>DataVault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Summary'!$A$10:$A$15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'Monthly Summary'!$C$10:$C$15</c:f>
              <c:numCache>
                <c:formatCode>\$#,##0</c:formatCode>
                <c:ptCount val="6"/>
                <c:pt idx="0">
                  <c:v>38606</c:v>
                </c:pt>
                <c:pt idx="1">
                  <c:v>34626</c:v>
                </c:pt>
                <c:pt idx="2">
                  <c:v>44178</c:v>
                </c:pt>
                <c:pt idx="3">
                  <c:v>34626</c:v>
                </c:pt>
                <c:pt idx="4">
                  <c:v>34228</c:v>
                </c:pt>
                <c:pt idx="5">
                  <c:v>40397</c:v>
                </c:pt>
              </c:numCache>
            </c:numRef>
          </c:val>
        </c:ser>
        <c:ser>
          <c:idx val="2"/>
          <c:order val="2"/>
          <c:tx>
            <c:strRef>
              <c:f>'Monthly Summary'!D9</c:f>
              <c:strCache>
                <c:ptCount val="1"/>
                <c:pt idx="0">
                  <c:v>SecureAPI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Summary'!$A$10:$A$15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'Monthly Summary'!$D$10:$D$15</c:f>
              <c:numCache>
                <c:formatCode>\$#,##0</c:formatCode>
                <c:ptCount val="6"/>
                <c:pt idx="0">
                  <c:v>79024</c:v>
                </c:pt>
                <c:pt idx="1">
                  <c:v>78575</c:v>
                </c:pt>
                <c:pt idx="2">
                  <c:v>56125</c:v>
                </c:pt>
                <c:pt idx="3">
                  <c:v>35920</c:v>
                </c:pt>
                <c:pt idx="4">
                  <c:v>84861</c:v>
                </c:pt>
                <c:pt idx="5">
                  <c:v>46696</c:v>
                </c:pt>
              </c:numCache>
            </c:numRef>
          </c:val>
        </c:ser>
        <c:ser>
          <c:idx val="3"/>
          <c:order val="3"/>
          <c:tx>
            <c:strRef>
              <c:f>'Monthly Summary'!E9</c:f>
              <c:strCache>
                <c:ptCount val="1"/>
                <c:pt idx="0">
                  <c:v>AI Assist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Summary'!$A$10:$A$15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'Monthly Summary'!$E$10:$E$15</c:f>
              <c:numCache>
                <c:formatCode>\$#,##0</c:formatCode>
                <c:ptCount val="6"/>
                <c:pt idx="0">
                  <c:v>54444</c:v>
                </c:pt>
                <c:pt idx="1">
                  <c:v>76082</c:v>
                </c:pt>
                <c:pt idx="2">
                  <c:v>58632</c:v>
                </c:pt>
                <c:pt idx="3">
                  <c:v>84807</c:v>
                </c:pt>
                <c:pt idx="4">
                  <c:v>85156</c:v>
                </c:pt>
                <c:pt idx="5">
                  <c:v>68404</c:v>
                </c:pt>
              </c:numCache>
            </c:numRef>
          </c:val>
        </c:ser>
        <c:ser>
          <c:idx val="4"/>
          <c:order val="4"/>
          <c:tx>
            <c:strRef>
              <c:f>'Monthly Summary'!F9</c:f>
              <c:strCache>
                <c:ptCount val="1"/>
                <c:pt idx="0">
                  <c:v>TeamFlow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Summary'!$A$10:$A$15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'Monthly Summary'!$F$10:$F$15</c:f>
              <c:numCache>
                <c:formatCode>\$#,##0</c:formatCode>
                <c:ptCount val="6"/>
                <c:pt idx="0">
                  <c:v>26522</c:v>
                </c:pt>
                <c:pt idx="1">
                  <c:v>40677</c:v>
                </c:pt>
                <c:pt idx="2">
                  <c:v>20115</c:v>
                </c:pt>
                <c:pt idx="3">
                  <c:v>24436</c:v>
                </c:pt>
                <c:pt idx="4">
                  <c:v>25479</c:v>
                </c:pt>
                <c:pt idx="5">
                  <c:v>30843</c:v>
                </c:pt>
              </c:numCache>
            </c:numRef>
          </c:val>
        </c:ser>
        <c:gapWidth val="150"/>
        <c:overlap val="0"/>
        <c:axId val="44255048"/>
        <c:axId val="52008481"/>
      </c:barChart>
      <c:catAx>
        <c:axId val="44255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08481"/>
        <c:crosses val="autoZero"/>
        <c:auto val="1"/>
        <c:lblAlgn val="ctr"/>
        <c:lblOffset val="100"/>
        <c:noMultiLvlLbl val="0"/>
      </c:catAx>
      <c:valAx>
        <c:axId val="520084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55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Trend — H1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Summary'!G9</c:f>
              <c:strCache>
                <c:ptCount val="1"/>
                <c:pt idx="0">
                  <c:v>Monthly Total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Summary'!$A$10:$A$15</c:f>
              <c:strCache>
                <c:ptCount val="6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</c:strCache>
            </c:strRef>
          </c:cat>
          <c:val>
            <c:numRef>
              <c:f>'Monthly Summary'!$G$10:$G$15</c:f>
              <c:numCache>
                <c:formatCode>\$#,##0</c:formatCode>
                <c:ptCount val="6"/>
                <c:pt idx="0">
                  <c:v>250921</c:v>
                </c:pt>
                <c:pt idx="1">
                  <c:v>288265</c:v>
                </c:pt>
                <c:pt idx="2">
                  <c:v>218817</c:v>
                </c:pt>
                <c:pt idx="3">
                  <c:v>243177</c:v>
                </c:pt>
                <c:pt idx="4">
                  <c:v>302680</c:v>
                </c:pt>
                <c:pt idx="5">
                  <c:v>222519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020389"/>
        <c:axId val="65227236"/>
      </c:lineChart>
      <c:catAx>
        <c:axId val="82020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27236"/>
        <c:crosses val="autoZero"/>
        <c:auto val="1"/>
        <c:lblAlgn val="ctr"/>
        <c:lblOffset val="100"/>
        <c:noMultiLvlLbl val="0"/>
      </c:catAx>
      <c:valAx>
        <c:axId val="65227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20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Breakdown'!B2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Breakdown'!$A$3:$A$6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'Regional Breakdown'!$B$3:$B$6</c:f>
              <c:numCache>
                <c:formatCode>\$#,##0</c:formatCode>
                <c:ptCount val="4"/>
                <c:pt idx="0">
                  <c:v>53643</c:v>
                </c:pt>
                <c:pt idx="1">
                  <c:v>52520</c:v>
                </c:pt>
                <c:pt idx="2">
                  <c:v>71608</c:v>
                </c:pt>
                <c:pt idx="3">
                  <c:v>73150</c:v>
                </c:pt>
              </c:numCache>
            </c:numRef>
          </c:val>
        </c:ser>
        <c:ser>
          <c:idx val="1"/>
          <c:order val="1"/>
          <c:tx>
            <c:strRef>
              <c:f>'Regional Breakdown'!C2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Breakdown'!$A$3:$A$6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'Regional Breakdown'!$C$3:$C$6</c:f>
              <c:numCache>
                <c:formatCode>\$#,##0</c:formatCode>
                <c:ptCount val="4"/>
                <c:pt idx="0">
                  <c:v>66551</c:v>
                </c:pt>
                <c:pt idx="1">
                  <c:v>72148</c:v>
                </c:pt>
                <c:pt idx="2">
                  <c:v>84368</c:v>
                </c:pt>
                <c:pt idx="3">
                  <c:v>65198</c:v>
                </c:pt>
              </c:numCache>
            </c:numRef>
          </c:val>
        </c:ser>
        <c:ser>
          <c:idx val="2"/>
          <c:order val="2"/>
          <c:tx>
            <c:strRef>
              <c:f>'Regional Breakdown'!D2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Breakdown'!$A$3:$A$6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'Regional Breakdown'!$D$3:$D$6</c:f>
              <c:numCache>
                <c:formatCode>\$#,##0</c:formatCode>
                <c:ptCount val="4"/>
                <c:pt idx="0">
                  <c:v>38197</c:v>
                </c:pt>
                <c:pt idx="1">
                  <c:v>34584</c:v>
                </c:pt>
                <c:pt idx="2">
                  <c:v>73337</c:v>
                </c:pt>
                <c:pt idx="3">
                  <c:v>72699</c:v>
                </c:pt>
              </c:numCache>
            </c:numRef>
          </c:val>
        </c:ser>
        <c:ser>
          <c:idx val="3"/>
          <c:order val="3"/>
          <c:tx>
            <c:strRef>
              <c:f>'Regional Breakdown'!E2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Breakdown'!$A$3:$A$6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'Regional Breakdown'!$E$3:$E$6</c:f>
              <c:numCache>
                <c:formatCode>\$#,##0</c:formatCode>
                <c:ptCount val="4"/>
                <c:pt idx="0">
                  <c:v>85197</c:v>
                </c:pt>
                <c:pt idx="1">
                  <c:v>59086</c:v>
                </c:pt>
                <c:pt idx="2">
                  <c:v>52941</c:v>
                </c:pt>
                <c:pt idx="3">
                  <c:v>45953</c:v>
                </c:pt>
              </c:numCache>
            </c:numRef>
          </c:val>
        </c:ser>
        <c:ser>
          <c:idx val="4"/>
          <c:order val="4"/>
          <c:tx>
            <c:strRef>
              <c:f>'Regional Breakdown'!F2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Breakdown'!$A$3:$A$6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'Regional Breakdown'!$F$3:$F$6</c:f>
              <c:numCache>
                <c:formatCode>\$#,##0</c:formatCode>
                <c:ptCount val="4"/>
                <c:pt idx="0">
                  <c:v>83312</c:v>
                </c:pt>
                <c:pt idx="1">
                  <c:v>77713</c:v>
                </c:pt>
                <c:pt idx="2">
                  <c:v>61298</c:v>
                </c:pt>
                <c:pt idx="3">
                  <c:v>80357</c:v>
                </c:pt>
              </c:numCache>
            </c:numRef>
          </c:val>
        </c:ser>
        <c:ser>
          <c:idx val="5"/>
          <c:order val="5"/>
          <c:tx>
            <c:strRef>
              <c:f>'Regional Breakdown'!G2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Breakdown'!$A$3:$A$6</c:f>
              <c:strCache>
                <c:ptCount val="4"/>
                <c:pt idx="0">
                  <c:v>Southeast</c:v>
                </c:pt>
                <c:pt idx="1">
                  <c:v>Northeast</c:v>
                </c:pt>
                <c:pt idx="2">
                  <c:v>Midwest</c:v>
                </c:pt>
                <c:pt idx="3">
                  <c:v>West</c:v>
                </c:pt>
              </c:strCache>
            </c:strRef>
          </c:cat>
          <c:val>
            <c:numRef>
              <c:f>'Regional Breakdown'!$G$3:$G$6</c:f>
              <c:numCache>
                <c:formatCode>\$#,##0</c:formatCode>
                <c:ptCount val="4"/>
                <c:pt idx="0">
                  <c:v>55266</c:v>
                </c:pt>
                <c:pt idx="1">
                  <c:v>38414</c:v>
                </c:pt>
                <c:pt idx="2">
                  <c:v>49983</c:v>
                </c:pt>
                <c:pt idx="3">
                  <c:v>78856</c:v>
                </c:pt>
              </c:numCache>
            </c:numRef>
          </c:val>
        </c:ser>
        <c:gapWidth val="150"/>
        <c:overlap val="0"/>
        <c:axId val="58269023"/>
        <c:axId val="76341847"/>
      </c:barChart>
      <c:catAx>
        <c:axId val="5826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41847"/>
        <c:crosses val="autoZero"/>
        <c:auto val="1"/>
        <c:lblAlgn val="ctr"/>
        <c:lblOffset val="100"/>
        <c:noMultiLvlLbl val="0"/>
      </c:catAx>
      <c:valAx>
        <c:axId val="76341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69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9</xdr:col>
      <xdr:colOff>118800</xdr:colOff>
      <xdr:row>43</xdr:row>
      <xdr:rowOff>86400</xdr:rowOff>
    </xdr:to>
    <xdr:graphicFrame>
      <xdr:nvGraphicFramePr>
        <xdr:cNvPr id="0" name="Chart 1"/>
        <xdr:cNvGraphicFramePr/>
      </xdr:nvGraphicFramePr>
      <xdr:xfrm>
        <a:off x="0" y="4162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118800</xdr:colOff>
      <xdr:row>59</xdr:row>
      <xdr:rowOff>86760</xdr:rowOff>
    </xdr:to>
    <xdr:graphicFrame>
      <xdr:nvGraphicFramePr>
        <xdr:cNvPr id="1" name="Chart 2"/>
        <xdr:cNvGraphicFramePr/>
      </xdr:nvGraphicFramePr>
      <xdr:xfrm>
        <a:off x="0" y="721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307080</xdr:colOff>
      <xdr:row>35</xdr:row>
      <xdr:rowOff>86400</xdr:rowOff>
    </xdr:to>
    <xdr:graphicFrame>
      <xdr:nvGraphicFramePr>
        <xdr:cNvPr id="2" name="Chart 1"/>
        <xdr:cNvGraphicFramePr/>
      </xdr:nvGraphicFramePr>
      <xdr:xfrm>
        <a:off x="0" y="1981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24</v>
      </c>
      <c r="D2" s="2" t="n">
        <v>299</v>
      </c>
      <c r="E2" s="3" t="n">
        <f aca="false">C2*D2</f>
        <v>7176</v>
      </c>
      <c r="F2" s="2" t="s">
        <v>10</v>
      </c>
      <c r="G2" s="2" t="s">
        <v>11</v>
      </c>
      <c r="H2" s="2" t="s">
        <v>12</v>
      </c>
    </row>
    <row r="3" customFormat="false" ht="15" hidden="false" customHeight="false" outlineLevel="0" collapsed="false">
      <c r="A3" s="4" t="s">
        <v>8</v>
      </c>
      <c r="B3" s="4" t="s">
        <v>9</v>
      </c>
      <c r="C3" s="4" t="n">
        <v>45</v>
      </c>
      <c r="D3" s="4" t="n">
        <v>299</v>
      </c>
      <c r="E3" s="5" t="n">
        <f aca="false">C3*D3</f>
        <v>13455</v>
      </c>
      <c r="F3" s="4" t="s">
        <v>13</v>
      </c>
      <c r="G3" s="4" t="s">
        <v>14</v>
      </c>
      <c r="H3" s="4" t="s">
        <v>15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n">
        <v>27</v>
      </c>
      <c r="D4" s="2" t="n">
        <v>299</v>
      </c>
      <c r="E4" s="3" t="n">
        <f aca="false">C4*D4</f>
        <v>8073</v>
      </c>
      <c r="F4" s="2" t="s">
        <v>16</v>
      </c>
      <c r="G4" s="2" t="s">
        <v>11</v>
      </c>
      <c r="H4" s="2" t="s">
        <v>12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n">
        <v>79</v>
      </c>
      <c r="D5" s="4" t="n">
        <v>299</v>
      </c>
      <c r="E5" s="5" t="n">
        <f aca="false">C5*D5</f>
        <v>23621</v>
      </c>
      <c r="F5" s="4" t="s">
        <v>17</v>
      </c>
      <c r="G5" s="4" t="s">
        <v>11</v>
      </c>
      <c r="H5" s="4" t="s">
        <v>12</v>
      </c>
    </row>
    <row r="6" customFormat="false" ht="15" hidden="false" customHeight="false" outlineLevel="0" collapsed="false">
      <c r="A6" s="2" t="s">
        <v>8</v>
      </c>
      <c r="B6" s="2" t="s">
        <v>18</v>
      </c>
      <c r="C6" s="2" t="n">
        <v>64</v>
      </c>
      <c r="D6" s="2" t="n">
        <v>199</v>
      </c>
      <c r="E6" s="3" t="n">
        <f aca="false">C6*D6</f>
        <v>12736</v>
      </c>
      <c r="F6" s="2" t="s">
        <v>10</v>
      </c>
      <c r="G6" s="2" t="s">
        <v>11</v>
      </c>
      <c r="H6" s="2" t="s">
        <v>15</v>
      </c>
    </row>
    <row r="7" customFormat="false" ht="15" hidden="false" customHeight="false" outlineLevel="0" collapsed="false">
      <c r="A7" s="4" t="s">
        <v>8</v>
      </c>
      <c r="B7" s="4" t="s">
        <v>18</v>
      </c>
      <c r="C7" s="4" t="n">
        <v>21</v>
      </c>
      <c r="D7" s="4" t="n">
        <v>199</v>
      </c>
      <c r="E7" s="5" t="n">
        <f aca="false">C7*D7</f>
        <v>4179</v>
      </c>
      <c r="F7" s="4" t="s">
        <v>13</v>
      </c>
      <c r="G7" s="4" t="s">
        <v>14</v>
      </c>
      <c r="H7" s="4" t="s">
        <v>15</v>
      </c>
    </row>
    <row r="8" customFormat="false" ht="15" hidden="false" customHeight="false" outlineLevel="0" collapsed="false">
      <c r="A8" s="2" t="s">
        <v>8</v>
      </c>
      <c r="B8" s="2" t="s">
        <v>18</v>
      </c>
      <c r="C8" s="2" t="n">
        <v>74</v>
      </c>
      <c r="D8" s="2" t="n">
        <v>199</v>
      </c>
      <c r="E8" s="3" t="n">
        <f aca="false">C8*D8</f>
        <v>14726</v>
      </c>
      <c r="F8" s="2" t="s">
        <v>16</v>
      </c>
      <c r="G8" s="2" t="s">
        <v>19</v>
      </c>
      <c r="H8" s="2" t="s">
        <v>15</v>
      </c>
    </row>
    <row r="9" customFormat="false" ht="15" hidden="false" customHeight="false" outlineLevel="0" collapsed="false">
      <c r="A9" s="4" t="s">
        <v>8</v>
      </c>
      <c r="B9" s="4" t="s">
        <v>18</v>
      </c>
      <c r="C9" s="4" t="n">
        <v>35</v>
      </c>
      <c r="D9" s="4" t="n">
        <v>199</v>
      </c>
      <c r="E9" s="5" t="n">
        <f aca="false">C9*D9</f>
        <v>6965</v>
      </c>
      <c r="F9" s="4" t="s">
        <v>17</v>
      </c>
      <c r="G9" s="4" t="s">
        <v>19</v>
      </c>
      <c r="H9" s="4" t="s">
        <v>20</v>
      </c>
    </row>
    <row r="10" customFormat="false" ht="15" hidden="false" customHeight="false" outlineLevel="0" collapsed="false">
      <c r="A10" s="2" t="s">
        <v>8</v>
      </c>
      <c r="B10" s="2" t="s">
        <v>21</v>
      </c>
      <c r="C10" s="2" t="n">
        <v>38</v>
      </c>
      <c r="D10" s="2" t="n">
        <v>449</v>
      </c>
      <c r="E10" s="3" t="n">
        <f aca="false">C10*D10</f>
        <v>17062</v>
      </c>
      <c r="F10" s="2" t="s">
        <v>10</v>
      </c>
      <c r="G10" s="2" t="s">
        <v>22</v>
      </c>
      <c r="H10" s="2" t="s">
        <v>12</v>
      </c>
    </row>
    <row r="11" customFormat="false" ht="15" hidden="false" customHeight="false" outlineLevel="0" collapsed="false">
      <c r="A11" s="4" t="s">
        <v>8</v>
      </c>
      <c r="B11" s="4" t="s">
        <v>21</v>
      </c>
      <c r="C11" s="4" t="n">
        <v>45</v>
      </c>
      <c r="D11" s="4" t="n">
        <v>449</v>
      </c>
      <c r="E11" s="5" t="n">
        <f aca="false">C11*D11</f>
        <v>20205</v>
      </c>
      <c r="F11" s="4" t="s">
        <v>13</v>
      </c>
      <c r="G11" s="4" t="s">
        <v>11</v>
      </c>
      <c r="H11" s="4" t="s">
        <v>15</v>
      </c>
    </row>
    <row r="12" customFormat="false" ht="15" hidden="false" customHeight="false" outlineLevel="0" collapsed="false">
      <c r="A12" s="2" t="s">
        <v>8</v>
      </c>
      <c r="B12" s="2" t="s">
        <v>21</v>
      </c>
      <c r="C12" s="2" t="n">
        <v>64</v>
      </c>
      <c r="D12" s="2" t="n">
        <v>449</v>
      </c>
      <c r="E12" s="3" t="n">
        <f aca="false">C12*D12</f>
        <v>28736</v>
      </c>
      <c r="F12" s="2" t="s">
        <v>16</v>
      </c>
      <c r="G12" s="2" t="s">
        <v>23</v>
      </c>
      <c r="H12" s="2" t="s">
        <v>20</v>
      </c>
    </row>
    <row r="13" customFormat="false" ht="15" hidden="false" customHeight="false" outlineLevel="0" collapsed="false">
      <c r="A13" s="4" t="s">
        <v>8</v>
      </c>
      <c r="B13" s="4" t="s">
        <v>21</v>
      </c>
      <c r="C13" s="4" t="n">
        <v>29</v>
      </c>
      <c r="D13" s="4" t="n">
        <v>449</v>
      </c>
      <c r="E13" s="5" t="n">
        <f aca="false">C13*D13</f>
        <v>13021</v>
      </c>
      <c r="F13" s="4" t="s">
        <v>17</v>
      </c>
      <c r="G13" s="4" t="s">
        <v>14</v>
      </c>
      <c r="H13" s="4" t="s">
        <v>20</v>
      </c>
    </row>
    <row r="14" customFormat="false" ht="15" hidden="false" customHeight="false" outlineLevel="0" collapsed="false">
      <c r="A14" s="2" t="s">
        <v>8</v>
      </c>
      <c r="B14" s="2" t="s">
        <v>24</v>
      </c>
      <c r="C14" s="2" t="n">
        <v>23</v>
      </c>
      <c r="D14" s="2" t="n">
        <v>349</v>
      </c>
      <c r="E14" s="3" t="n">
        <f aca="false">C14*D14</f>
        <v>8027</v>
      </c>
      <c r="F14" s="2" t="s">
        <v>10</v>
      </c>
      <c r="G14" s="2" t="s">
        <v>11</v>
      </c>
      <c r="H14" s="2" t="s">
        <v>20</v>
      </c>
    </row>
    <row r="15" customFormat="false" ht="15" hidden="false" customHeight="false" outlineLevel="0" collapsed="false">
      <c r="A15" s="4" t="s">
        <v>8</v>
      </c>
      <c r="B15" s="4" t="s">
        <v>24</v>
      </c>
      <c r="C15" s="4" t="n">
        <v>22</v>
      </c>
      <c r="D15" s="4" t="n">
        <v>349</v>
      </c>
      <c r="E15" s="5" t="n">
        <f aca="false">C15*D15</f>
        <v>7678</v>
      </c>
      <c r="F15" s="4" t="s">
        <v>13</v>
      </c>
      <c r="G15" s="4" t="s">
        <v>23</v>
      </c>
      <c r="H15" s="4" t="s">
        <v>20</v>
      </c>
    </row>
    <row r="16" customFormat="false" ht="15" hidden="false" customHeight="false" outlineLevel="0" collapsed="false">
      <c r="A16" s="2" t="s">
        <v>8</v>
      </c>
      <c r="B16" s="2" t="s">
        <v>24</v>
      </c>
      <c r="C16" s="2" t="n">
        <v>43</v>
      </c>
      <c r="D16" s="2" t="n">
        <v>349</v>
      </c>
      <c r="E16" s="3" t="n">
        <f aca="false">C16*D16</f>
        <v>15007</v>
      </c>
      <c r="F16" s="2" t="s">
        <v>16</v>
      </c>
      <c r="G16" s="2" t="s">
        <v>11</v>
      </c>
      <c r="H16" s="2" t="s">
        <v>12</v>
      </c>
    </row>
    <row r="17" customFormat="false" ht="15" hidden="false" customHeight="false" outlineLevel="0" collapsed="false">
      <c r="A17" s="4" t="s">
        <v>8</v>
      </c>
      <c r="B17" s="4" t="s">
        <v>24</v>
      </c>
      <c r="C17" s="4" t="n">
        <v>68</v>
      </c>
      <c r="D17" s="4" t="n">
        <v>349</v>
      </c>
      <c r="E17" s="5" t="n">
        <f aca="false">C17*D17</f>
        <v>23732</v>
      </c>
      <c r="F17" s="4" t="s">
        <v>17</v>
      </c>
      <c r="G17" s="4" t="s">
        <v>19</v>
      </c>
      <c r="H17" s="4" t="s">
        <v>15</v>
      </c>
    </row>
    <row r="18" customFormat="false" ht="15" hidden="false" customHeight="false" outlineLevel="0" collapsed="false">
      <c r="A18" s="2" t="s">
        <v>8</v>
      </c>
      <c r="B18" s="2" t="s">
        <v>25</v>
      </c>
      <c r="C18" s="2" t="n">
        <v>58</v>
      </c>
      <c r="D18" s="2" t="n">
        <v>149</v>
      </c>
      <c r="E18" s="3" t="n">
        <f aca="false">C18*D18</f>
        <v>8642</v>
      </c>
      <c r="F18" s="2" t="s">
        <v>10</v>
      </c>
      <c r="G18" s="2" t="s">
        <v>11</v>
      </c>
      <c r="H18" s="2" t="s">
        <v>12</v>
      </c>
    </row>
    <row r="19" customFormat="false" ht="15" hidden="false" customHeight="false" outlineLevel="0" collapsed="false">
      <c r="A19" s="4" t="s">
        <v>8</v>
      </c>
      <c r="B19" s="4" t="s">
        <v>25</v>
      </c>
      <c r="C19" s="4" t="n">
        <v>47</v>
      </c>
      <c r="D19" s="4" t="n">
        <v>149</v>
      </c>
      <c r="E19" s="5" t="n">
        <f aca="false">C19*D19</f>
        <v>7003</v>
      </c>
      <c r="F19" s="4" t="s">
        <v>13</v>
      </c>
      <c r="G19" s="4" t="s">
        <v>19</v>
      </c>
      <c r="H19" s="4" t="s">
        <v>20</v>
      </c>
    </row>
    <row r="20" customFormat="false" ht="15" hidden="false" customHeight="false" outlineLevel="0" collapsed="false">
      <c r="A20" s="2" t="s">
        <v>8</v>
      </c>
      <c r="B20" s="2" t="s">
        <v>25</v>
      </c>
      <c r="C20" s="2" t="n">
        <v>34</v>
      </c>
      <c r="D20" s="2" t="n">
        <v>149</v>
      </c>
      <c r="E20" s="3" t="n">
        <f aca="false">C20*D20</f>
        <v>5066</v>
      </c>
      <c r="F20" s="2" t="s">
        <v>16</v>
      </c>
      <c r="G20" s="2" t="s">
        <v>11</v>
      </c>
      <c r="H20" s="2" t="s">
        <v>15</v>
      </c>
    </row>
    <row r="21" customFormat="false" ht="15" hidden="false" customHeight="false" outlineLevel="0" collapsed="false">
      <c r="A21" s="4" t="s">
        <v>8</v>
      </c>
      <c r="B21" s="4" t="s">
        <v>25</v>
      </c>
      <c r="C21" s="4" t="n">
        <v>39</v>
      </c>
      <c r="D21" s="4" t="n">
        <v>149</v>
      </c>
      <c r="E21" s="5" t="n">
        <f aca="false">C21*D21</f>
        <v>5811</v>
      </c>
      <c r="F21" s="4" t="s">
        <v>17</v>
      </c>
      <c r="G21" s="4" t="s">
        <v>23</v>
      </c>
      <c r="H21" s="4" t="s">
        <v>15</v>
      </c>
    </row>
    <row r="22" customFormat="false" ht="15" hidden="false" customHeight="false" outlineLevel="0" collapsed="false">
      <c r="A22" s="2" t="s">
        <v>26</v>
      </c>
      <c r="B22" s="2" t="s">
        <v>9</v>
      </c>
      <c r="C22" s="2" t="n">
        <v>39</v>
      </c>
      <c r="D22" s="2" t="n">
        <v>299</v>
      </c>
      <c r="E22" s="3" t="n">
        <f aca="false">C22*D22</f>
        <v>11661</v>
      </c>
      <c r="F22" s="2" t="s">
        <v>10</v>
      </c>
      <c r="G22" s="2" t="s">
        <v>11</v>
      </c>
      <c r="H22" s="2" t="s">
        <v>20</v>
      </c>
    </row>
    <row r="23" customFormat="false" ht="15" hidden="false" customHeight="false" outlineLevel="0" collapsed="false">
      <c r="A23" s="4" t="s">
        <v>26</v>
      </c>
      <c r="B23" s="4" t="s">
        <v>9</v>
      </c>
      <c r="C23" s="4" t="n">
        <v>45</v>
      </c>
      <c r="D23" s="4" t="n">
        <v>299</v>
      </c>
      <c r="E23" s="5" t="n">
        <f aca="false">C23*D23</f>
        <v>13455</v>
      </c>
      <c r="F23" s="4" t="s">
        <v>13</v>
      </c>
      <c r="G23" s="4" t="s">
        <v>22</v>
      </c>
      <c r="H23" s="4" t="s">
        <v>12</v>
      </c>
    </row>
    <row r="24" customFormat="false" ht="15" hidden="false" customHeight="false" outlineLevel="0" collapsed="false">
      <c r="A24" s="2" t="s">
        <v>26</v>
      </c>
      <c r="B24" s="2" t="s">
        <v>9</v>
      </c>
      <c r="C24" s="2" t="n">
        <v>56</v>
      </c>
      <c r="D24" s="2" t="n">
        <v>299</v>
      </c>
      <c r="E24" s="3" t="n">
        <f aca="false">C24*D24</f>
        <v>16744</v>
      </c>
      <c r="F24" s="2" t="s">
        <v>16</v>
      </c>
      <c r="G24" s="2" t="s">
        <v>14</v>
      </c>
      <c r="H24" s="2" t="s">
        <v>20</v>
      </c>
    </row>
    <row r="25" customFormat="false" ht="15" hidden="false" customHeight="false" outlineLevel="0" collapsed="false">
      <c r="A25" s="4" t="s">
        <v>26</v>
      </c>
      <c r="B25" s="4" t="s">
        <v>9</v>
      </c>
      <c r="C25" s="4" t="n">
        <v>55</v>
      </c>
      <c r="D25" s="4" t="n">
        <v>299</v>
      </c>
      <c r="E25" s="5" t="n">
        <f aca="false">C25*D25</f>
        <v>16445</v>
      </c>
      <c r="F25" s="4" t="s">
        <v>17</v>
      </c>
      <c r="G25" s="4" t="s">
        <v>14</v>
      </c>
      <c r="H25" s="4" t="s">
        <v>12</v>
      </c>
    </row>
    <row r="26" customFormat="false" ht="15" hidden="false" customHeight="false" outlineLevel="0" collapsed="false">
      <c r="A26" s="2" t="s">
        <v>26</v>
      </c>
      <c r="B26" s="2" t="s">
        <v>18</v>
      </c>
      <c r="C26" s="2" t="n">
        <v>44</v>
      </c>
      <c r="D26" s="2" t="n">
        <v>199</v>
      </c>
      <c r="E26" s="3" t="n">
        <f aca="false">C26*D26</f>
        <v>8756</v>
      </c>
      <c r="F26" s="2" t="s">
        <v>10</v>
      </c>
      <c r="G26" s="2" t="s">
        <v>11</v>
      </c>
      <c r="H26" s="2" t="s">
        <v>12</v>
      </c>
    </row>
    <row r="27" customFormat="false" ht="15" hidden="false" customHeight="false" outlineLevel="0" collapsed="false">
      <c r="A27" s="4" t="s">
        <v>26</v>
      </c>
      <c r="B27" s="4" t="s">
        <v>18</v>
      </c>
      <c r="C27" s="4" t="n">
        <v>31</v>
      </c>
      <c r="D27" s="4" t="n">
        <v>199</v>
      </c>
      <c r="E27" s="5" t="n">
        <f aca="false">C27*D27</f>
        <v>6169</v>
      </c>
      <c r="F27" s="4" t="s">
        <v>13</v>
      </c>
      <c r="G27" s="4" t="s">
        <v>19</v>
      </c>
      <c r="H27" s="4" t="s">
        <v>12</v>
      </c>
    </row>
    <row r="28" customFormat="false" ht="15" hidden="false" customHeight="false" outlineLevel="0" collapsed="false">
      <c r="A28" s="2" t="s">
        <v>26</v>
      </c>
      <c r="B28" s="2" t="s">
        <v>18</v>
      </c>
      <c r="C28" s="2" t="n">
        <v>41</v>
      </c>
      <c r="D28" s="2" t="n">
        <v>199</v>
      </c>
      <c r="E28" s="3" t="n">
        <f aca="false">C28*D28</f>
        <v>8159</v>
      </c>
      <c r="F28" s="2" t="s">
        <v>16</v>
      </c>
      <c r="G28" s="2" t="s">
        <v>14</v>
      </c>
      <c r="H28" s="2" t="s">
        <v>20</v>
      </c>
    </row>
    <row r="29" customFormat="false" ht="15" hidden="false" customHeight="false" outlineLevel="0" collapsed="false">
      <c r="A29" s="4" t="s">
        <v>26</v>
      </c>
      <c r="B29" s="4" t="s">
        <v>18</v>
      </c>
      <c r="C29" s="4" t="n">
        <v>58</v>
      </c>
      <c r="D29" s="4" t="n">
        <v>199</v>
      </c>
      <c r="E29" s="5" t="n">
        <f aca="false">C29*D29</f>
        <v>11542</v>
      </c>
      <c r="F29" s="4" t="s">
        <v>17</v>
      </c>
      <c r="G29" s="4" t="s">
        <v>23</v>
      </c>
      <c r="H29" s="4" t="s">
        <v>12</v>
      </c>
    </row>
    <row r="30" customFormat="false" ht="15" hidden="false" customHeight="false" outlineLevel="0" collapsed="false">
      <c r="A30" s="2" t="s">
        <v>26</v>
      </c>
      <c r="B30" s="2" t="s">
        <v>21</v>
      </c>
      <c r="C30" s="2" t="n">
        <v>38</v>
      </c>
      <c r="D30" s="2" t="n">
        <v>449</v>
      </c>
      <c r="E30" s="3" t="n">
        <f aca="false">C30*D30</f>
        <v>17062</v>
      </c>
      <c r="F30" s="2" t="s">
        <v>10</v>
      </c>
      <c r="G30" s="2" t="s">
        <v>23</v>
      </c>
      <c r="H30" s="2" t="s">
        <v>15</v>
      </c>
    </row>
    <row r="31" customFormat="false" ht="15" hidden="false" customHeight="false" outlineLevel="0" collapsed="false">
      <c r="A31" s="4" t="s">
        <v>26</v>
      </c>
      <c r="B31" s="4" t="s">
        <v>21</v>
      </c>
      <c r="C31" s="4" t="n">
        <v>39</v>
      </c>
      <c r="D31" s="4" t="n">
        <v>449</v>
      </c>
      <c r="E31" s="5" t="n">
        <f aca="false">C31*D31</f>
        <v>17511</v>
      </c>
      <c r="F31" s="4" t="s">
        <v>13</v>
      </c>
      <c r="G31" s="4" t="s">
        <v>11</v>
      </c>
      <c r="H31" s="4" t="s">
        <v>20</v>
      </c>
    </row>
    <row r="32" customFormat="false" ht="15" hidden="false" customHeight="false" outlineLevel="0" collapsed="false">
      <c r="A32" s="2" t="s">
        <v>26</v>
      </c>
      <c r="B32" s="2" t="s">
        <v>21</v>
      </c>
      <c r="C32" s="2" t="n">
        <v>61</v>
      </c>
      <c r="D32" s="2" t="n">
        <v>449</v>
      </c>
      <c r="E32" s="3" t="n">
        <f aca="false">C32*D32</f>
        <v>27389</v>
      </c>
      <c r="F32" s="2" t="s">
        <v>16</v>
      </c>
      <c r="G32" s="2" t="s">
        <v>23</v>
      </c>
      <c r="H32" s="2" t="s">
        <v>15</v>
      </c>
    </row>
    <row r="33" customFormat="false" ht="15" hidden="false" customHeight="false" outlineLevel="0" collapsed="false">
      <c r="A33" s="4" t="s">
        <v>26</v>
      </c>
      <c r="B33" s="4" t="s">
        <v>21</v>
      </c>
      <c r="C33" s="4" t="n">
        <v>37</v>
      </c>
      <c r="D33" s="4" t="n">
        <v>449</v>
      </c>
      <c r="E33" s="5" t="n">
        <f aca="false">C33*D33</f>
        <v>16613</v>
      </c>
      <c r="F33" s="4" t="s">
        <v>17</v>
      </c>
      <c r="G33" s="4" t="s">
        <v>19</v>
      </c>
      <c r="H33" s="4" t="s">
        <v>12</v>
      </c>
    </row>
    <row r="34" customFormat="false" ht="15" hidden="false" customHeight="false" outlineLevel="0" collapsed="false">
      <c r="A34" s="2" t="s">
        <v>26</v>
      </c>
      <c r="B34" s="2" t="s">
        <v>24</v>
      </c>
      <c r="C34" s="2" t="n">
        <v>50</v>
      </c>
      <c r="D34" s="2" t="n">
        <v>349</v>
      </c>
      <c r="E34" s="3" t="n">
        <f aca="false">C34*D34</f>
        <v>17450</v>
      </c>
      <c r="F34" s="2" t="s">
        <v>10</v>
      </c>
      <c r="G34" s="2" t="s">
        <v>14</v>
      </c>
      <c r="H34" s="2" t="s">
        <v>12</v>
      </c>
    </row>
    <row r="35" customFormat="false" ht="15" hidden="false" customHeight="false" outlineLevel="0" collapsed="false">
      <c r="A35" s="4" t="s">
        <v>26</v>
      </c>
      <c r="B35" s="4" t="s">
        <v>24</v>
      </c>
      <c r="C35" s="4" t="n">
        <v>73</v>
      </c>
      <c r="D35" s="4" t="n">
        <v>349</v>
      </c>
      <c r="E35" s="5" t="n">
        <f aca="false">C35*D35</f>
        <v>25477</v>
      </c>
      <c r="F35" s="4" t="s">
        <v>13</v>
      </c>
      <c r="G35" s="4" t="s">
        <v>22</v>
      </c>
      <c r="H35" s="4" t="s">
        <v>12</v>
      </c>
    </row>
    <row r="36" customFormat="false" ht="15" hidden="false" customHeight="false" outlineLevel="0" collapsed="false">
      <c r="A36" s="2" t="s">
        <v>26</v>
      </c>
      <c r="B36" s="2" t="s">
        <v>24</v>
      </c>
      <c r="C36" s="2" t="n">
        <v>68</v>
      </c>
      <c r="D36" s="2" t="n">
        <v>349</v>
      </c>
      <c r="E36" s="3" t="n">
        <f aca="false">C36*D36</f>
        <v>23732</v>
      </c>
      <c r="F36" s="2" t="s">
        <v>16</v>
      </c>
      <c r="G36" s="2" t="s">
        <v>14</v>
      </c>
      <c r="H36" s="2" t="s">
        <v>20</v>
      </c>
    </row>
    <row r="37" customFormat="false" ht="15" hidden="false" customHeight="false" outlineLevel="0" collapsed="false">
      <c r="A37" s="4" t="s">
        <v>26</v>
      </c>
      <c r="B37" s="4" t="s">
        <v>24</v>
      </c>
      <c r="C37" s="4" t="n">
        <v>27</v>
      </c>
      <c r="D37" s="4" t="n">
        <v>349</v>
      </c>
      <c r="E37" s="5" t="n">
        <f aca="false">C37*D37</f>
        <v>9423</v>
      </c>
      <c r="F37" s="4" t="s">
        <v>17</v>
      </c>
      <c r="G37" s="4" t="s">
        <v>14</v>
      </c>
      <c r="H37" s="4" t="s">
        <v>12</v>
      </c>
    </row>
    <row r="38" customFormat="false" ht="15" hidden="false" customHeight="false" outlineLevel="0" collapsed="false">
      <c r="A38" s="2" t="s">
        <v>26</v>
      </c>
      <c r="B38" s="2" t="s">
        <v>25</v>
      </c>
      <c r="C38" s="2" t="n">
        <v>78</v>
      </c>
      <c r="D38" s="2" t="n">
        <v>149</v>
      </c>
      <c r="E38" s="3" t="n">
        <f aca="false">C38*D38</f>
        <v>11622</v>
      </c>
      <c r="F38" s="2" t="s">
        <v>10</v>
      </c>
      <c r="G38" s="2" t="s">
        <v>23</v>
      </c>
      <c r="H38" s="2" t="s">
        <v>12</v>
      </c>
    </row>
    <row r="39" customFormat="false" ht="15" hidden="false" customHeight="false" outlineLevel="0" collapsed="false">
      <c r="A39" s="4" t="s">
        <v>26</v>
      </c>
      <c r="B39" s="4" t="s">
        <v>25</v>
      </c>
      <c r="C39" s="4" t="n">
        <v>64</v>
      </c>
      <c r="D39" s="4" t="n">
        <v>149</v>
      </c>
      <c r="E39" s="5" t="n">
        <f aca="false">C39*D39</f>
        <v>9536</v>
      </c>
      <c r="F39" s="4" t="s">
        <v>13</v>
      </c>
      <c r="G39" s="4" t="s">
        <v>19</v>
      </c>
      <c r="H39" s="4" t="s">
        <v>20</v>
      </c>
    </row>
    <row r="40" customFormat="false" ht="15" hidden="false" customHeight="false" outlineLevel="0" collapsed="false">
      <c r="A40" s="2" t="s">
        <v>26</v>
      </c>
      <c r="B40" s="2" t="s">
        <v>25</v>
      </c>
      <c r="C40" s="2" t="n">
        <v>56</v>
      </c>
      <c r="D40" s="2" t="n">
        <v>149</v>
      </c>
      <c r="E40" s="3" t="n">
        <f aca="false">C40*D40</f>
        <v>8344</v>
      </c>
      <c r="F40" s="2" t="s">
        <v>16</v>
      </c>
      <c r="G40" s="2" t="s">
        <v>14</v>
      </c>
      <c r="H40" s="2" t="s">
        <v>15</v>
      </c>
    </row>
    <row r="41" customFormat="false" ht="15" hidden="false" customHeight="false" outlineLevel="0" collapsed="false">
      <c r="A41" s="4" t="s">
        <v>26</v>
      </c>
      <c r="B41" s="4" t="s">
        <v>25</v>
      </c>
      <c r="C41" s="4" t="n">
        <v>75</v>
      </c>
      <c r="D41" s="4" t="n">
        <v>149</v>
      </c>
      <c r="E41" s="5" t="n">
        <f aca="false">C41*D41</f>
        <v>11175</v>
      </c>
      <c r="F41" s="4" t="s">
        <v>17</v>
      </c>
      <c r="G41" s="4" t="s">
        <v>22</v>
      </c>
      <c r="H41" s="4" t="s">
        <v>15</v>
      </c>
    </row>
    <row r="42" customFormat="false" ht="15" hidden="false" customHeight="false" outlineLevel="0" collapsed="false">
      <c r="A42" s="2" t="s">
        <v>27</v>
      </c>
      <c r="B42" s="2" t="s">
        <v>9</v>
      </c>
      <c r="C42" s="2" t="n">
        <v>16</v>
      </c>
      <c r="D42" s="2" t="n">
        <v>299</v>
      </c>
      <c r="E42" s="3" t="n">
        <f aca="false">C42*D42</f>
        <v>4784</v>
      </c>
      <c r="F42" s="2" t="s">
        <v>10</v>
      </c>
      <c r="G42" s="2" t="s">
        <v>11</v>
      </c>
      <c r="H42" s="2" t="s">
        <v>15</v>
      </c>
    </row>
    <row r="43" customFormat="false" ht="15" hidden="false" customHeight="false" outlineLevel="0" collapsed="false">
      <c r="A43" s="4" t="s">
        <v>27</v>
      </c>
      <c r="B43" s="4" t="s">
        <v>9</v>
      </c>
      <c r="C43" s="4" t="n">
        <v>30</v>
      </c>
      <c r="D43" s="4" t="n">
        <v>299</v>
      </c>
      <c r="E43" s="5" t="n">
        <f aca="false">C43*D43</f>
        <v>8970</v>
      </c>
      <c r="F43" s="4" t="s">
        <v>13</v>
      </c>
      <c r="G43" s="4" t="s">
        <v>22</v>
      </c>
      <c r="H43" s="4" t="s">
        <v>12</v>
      </c>
    </row>
    <row r="44" customFormat="false" ht="15" hidden="false" customHeight="false" outlineLevel="0" collapsed="false">
      <c r="A44" s="2" t="s">
        <v>27</v>
      </c>
      <c r="B44" s="2" t="s">
        <v>9</v>
      </c>
      <c r="C44" s="2" t="n">
        <v>18</v>
      </c>
      <c r="D44" s="2" t="n">
        <v>299</v>
      </c>
      <c r="E44" s="3" t="n">
        <f aca="false">C44*D44</f>
        <v>5382</v>
      </c>
      <c r="F44" s="2" t="s">
        <v>16</v>
      </c>
      <c r="G44" s="2" t="s">
        <v>22</v>
      </c>
      <c r="H44" s="2" t="s">
        <v>20</v>
      </c>
    </row>
    <row r="45" customFormat="false" ht="15" hidden="false" customHeight="false" outlineLevel="0" collapsed="false">
      <c r="A45" s="4" t="s">
        <v>27</v>
      </c>
      <c r="B45" s="4" t="s">
        <v>9</v>
      </c>
      <c r="C45" s="4" t="n">
        <v>69</v>
      </c>
      <c r="D45" s="4" t="n">
        <v>299</v>
      </c>
      <c r="E45" s="5" t="n">
        <f aca="false">C45*D45</f>
        <v>20631</v>
      </c>
      <c r="F45" s="4" t="s">
        <v>17</v>
      </c>
      <c r="G45" s="4" t="s">
        <v>19</v>
      </c>
      <c r="H45" s="4" t="s">
        <v>20</v>
      </c>
    </row>
    <row r="46" customFormat="false" ht="15" hidden="false" customHeight="false" outlineLevel="0" collapsed="false">
      <c r="A46" s="2" t="s">
        <v>27</v>
      </c>
      <c r="B46" s="2" t="s">
        <v>18</v>
      </c>
      <c r="C46" s="2" t="n">
        <v>80</v>
      </c>
      <c r="D46" s="2" t="n">
        <v>199</v>
      </c>
      <c r="E46" s="3" t="n">
        <f aca="false">C46*D46</f>
        <v>15920</v>
      </c>
      <c r="F46" s="2" t="s">
        <v>10</v>
      </c>
      <c r="G46" s="2" t="s">
        <v>11</v>
      </c>
      <c r="H46" s="2" t="s">
        <v>12</v>
      </c>
    </row>
    <row r="47" customFormat="false" ht="15" hidden="false" customHeight="false" outlineLevel="0" collapsed="false">
      <c r="A47" s="4" t="s">
        <v>27</v>
      </c>
      <c r="B47" s="4" t="s">
        <v>18</v>
      </c>
      <c r="C47" s="4" t="n">
        <v>24</v>
      </c>
      <c r="D47" s="4" t="n">
        <v>199</v>
      </c>
      <c r="E47" s="5" t="n">
        <f aca="false">C47*D47</f>
        <v>4776</v>
      </c>
      <c r="F47" s="4" t="s">
        <v>13</v>
      </c>
      <c r="G47" s="4" t="s">
        <v>19</v>
      </c>
      <c r="H47" s="4" t="s">
        <v>20</v>
      </c>
    </row>
    <row r="48" customFormat="false" ht="15" hidden="false" customHeight="false" outlineLevel="0" collapsed="false">
      <c r="A48" s="2" t="s">
        <v>27</v>
      </c>
      <c r="B48" s="2" t="s">
        <v>18</v>
      </c>
      <c r="C48" s="2" t="n">
        <v>53</v>
      </c>
      <c r="D48" s="2" t="n">
        <v>199</v>
      </c>
      <c r="E48" s="3" t="n">
        <f aca="false">C48*D48</f>
        <v>10547</v>
      </c>
      <c r="F48" s="2" t="s">
        <v>16</v>
      </c>
      <c r="G48" s="2" t="s">
        <v>11</v>
      </c>
      <c r="H48" s="2" t="s">
        <v>20</v>
      </c>
    </row>
    <row r="49" customFormat="false" ht="15" hidden="false" customHeight="false" outlineLevel="0" collapsed="false">
      <c r="A49" s="4" t="s">
        <v>27</v>
      </c>
      <c r="B49" s="4" t="s">
        <v>18</v>
      </c>
      <c r="C49" s="4" t="n">
        <v>65</v>
      </c>
      <c r="D49" s="4" t="n">
        <v>199</v>
      </c>
      <c r="E49" s="5" t="n">
        <f aca="false">C49*D49</f>
        <v>12935</v>
      </c>
      <c r="F49" s="4" t="s">
        <v>17</v>
      </c>
      <c r="G49" s="4" t="s">
        <v>14</v>
      </c>
      <c r="H49" s="4" t="s">
        <v>20</v>
      </c>
    </row>
    <row r="50" customFormat="false" ht="15" hidden="false" customHeight="false" outlineLevel="0" collapsed="false">
      <c r="A50" s="2" t="s">
        <v>27</v>
      </c>
      <c r="B50" s="2" t="s">
        <v>21</v>
      </c>
      <c r="C50" s="2" t="n">
        <v>10</v>
      </c>
      <c r="D50" s="2" t="n">
        <v>449</v>
      </c>
      <c r="E50" s="3" t="n">
        <f aca="false">C50*D50</f>
        <v>4490</v>
      </c>
      <c r="F50" s="2" t="s">
        <v>10</v>
      </c>
      <c r="G50" s="2" t="s">
        <v>23</v>
      </c>
      <c r="H50" s="2" t="s">
        <v>12</v>
      </c>
    </row>
    <row r="51" customFormat="false" ht="15" hidden="false" customHeight="false" outlineLevel="0" collapsed="false">
      <c r="A51" s="4" t="s">
        <v>27</v>
      </c>
      <c r="B51" s="4" t="s">
        <v>21</v>
      </c>
      <c r="C51" s="4" t="n">
        <v>32</v>
      </c>
      <c r="D51" s="4" t="n">
        <v>449</v>
      </c>
      <c r="E51" s="5" t="n">
        <f aca="false">C51*D51</f>
        <v>14368</v>
      </c>
      <c r="F51" s="4" t="s">
        <v>13</v>
      </c>
      <c r="G51" s="4" t="s">
        <v>19</v>
      </c>
      <c r="H51" s="4" t="s">
        <v>15</v>
      </c>
    </row>
    <row r="52" customFormat="false" ht="15" hidden="false" customHeight="false" outlineLevel="0" collapsed="false">
      <c r="A52" s="2" t="s">
        <v>27</v>
      </c>
      <c r="B52" s="2" t="s">
        <v>21</v>
      </c>
      <c r="C52" s="2" t="n">
        <v>48</v>
      </c>
      <c r="D52" s="2" t="n">
        <v>449</v>
      </c>
      <c r="E52" s="3" t="n">
        <f aca="false">C52*D52</f>
        <v>21552</v>
      </c>
      <c r="F52" s="2" t="s">
        <v>16</v>
      </c>
      <c r="G52" s="2" t="s">
        <v>19</v>
      </c>
      <c r="H52" s="2" t="s">
        <v>12</v>
      </c>
    </row>
    <row r="53" customFormat="false" ht="15" hidden="false" customHeight="false" outlineLevel="0" collapsed="false">
      <c r="A53" s="4" t="s">
        <v>27</v>
      </c>
      <c r="B53" s="4" t="s">
        <v>21</v>
      </c>
      <c r="C53" s="4" t="n">
        <v>35</v>
      </c>
      <c r="D53" s="4" t="n">
        <v>449</v>
      </c>
      <c r="E53" s="5" t="n">
        <f aca="false">C53*D53</f>
        <v>15715</v>
      </c>
      <c r="F53" s="4" t="s">
        <v>17</v>
      </c>
      <c r="G53" s="4" t="s">
        <v>14</v>
      </c>
      <c r="H53" s="4" t="s">
        <v>20</v>
      </c>
    </row>
    <row r="54" customFormat="false" ht="15" hidden="false" customHeight="false" outlineLevel="0" collapsed="false">
      <c r="A54" s="2" t="s">
        <v>27</v>
      </c>
      <c r="B54" s="2" t="s">
        <v>24</v>
      </c>
      <c r="C54" s="2" t="n">
        <v>30</v>
      </c>
      <c r="D54" s="2" t="n">
        <v>349</v>
      </c>
      <c r="E54" s="3" t="n">
        <f aca="false">C54*D54</f>
        <v>10470</v>
      </c>
      <c r="F54" s="2" t="s">
        <v>10</v>
      </c>
      <c r="G54" s="2" t="s">
        <v>19</v>
      </c>
      <c r="H54" s="2" t="s">
        <v>12</v>
      </c>
    </row>
    <row r="55" customFormat="false" ht="15" hidden="false" customHeight="false" outlineLevel="0" collapsed="false">
      <c r="A55" s="4" t="s">
        <v>27</v>
      </c>
      <c r="B55" s="4" t="s">
        <v>24</v>
      </c>
      <c r="C55" s="4" t="n">
        <v>10</v>
      </c>
      <c r="D55" s="4" t="n">
        <v>349</v>
      </c>
      <c r="E55" s="5" t="n">
        <f aca="false">C55*D55</f>
        <v>3490</v>
      </c>
      <c r="F55" s="4" t="s">
        <v>13</v>
      </c>
      <c r="G55" s="4" t="s">
        <v>19</v>
      </c>
      <c r="H55" s="4" t="s">
        <v>20</v>
      </c>
    </row>
    <row r="56" customFormat="false" ht="15" hidden="false" customHeight="false" outlineLevel="0" collapsed="false">
      <c r="A56" s="2" t="s">
        <v>27</v>
      </c>
      <c r="B56" s="2" t="s">
        <v>24</v>
      </c>
      <c r="C56" s="2" t="n">
        <v>72</v>
      </c>
      <c r="D56" s="2" t="n">
        <v>349</v>
      </c>
      <c r="E56" s="3" t="n">
        <f aca="false">C56*D56</f>
        <v>25128</v>
      </c>
      <c r="F56" s="2" t="s">
        <v>16</v>
      </c>
      <c r="G56" s="2" t="s">
        <v>11</v>
      </c>
      <c r="H56" s="2" t="s">
        <v>15</v>
      </c>
    </row>
    <row r="57" customFormat="false" ht="15" hidden="false" customHeight="false" outlineLevel="0" collapsed="false">
      <c r="A57" s="4" t="s">
        <v>27</v>
      </c>
      <c r="B57" s="4" t="s">
        <v>24</v>
      </c>
      <c r="C57" s="4" t="n">
        <v>56</v>
      </c>
      <c r="D57" s="4" t="n">
        <v>349</v>
      </c>
      <c r="E57" s="5" t="n">
        <f aca="false">C57*D57</f>
        <v>19544</v>
      </c>
      <c r="F57" s="4" t="s">
        <v>17</v>
      </c>
      <c r="G57" s="4" t="s">
        <v>23</v>
      </c>
      <c r="H57" s="4" t="s">
        <v>15</v>
      </c>
    </row>
    <row r="58" customFormat="false" ht="15" hidden="false" customHeight="false" outlineLevel="0" collapsed="false">
      <c r="A58" s="2" t="s">
        <v>27</v>
      </c>
      <c r="B58" s="2" t="s">
        <v>25</v>
      </c>
      <c r="C58" s="2" t="n">
        <v>17</v>
      </c>
      <c r="D58" s="2" t="n">
        <v>149</v>
      </c>
      <c r="E58" s="3" t="n">
        <f aca="false">C58*D58</f>
        <v>2533</v>
      </c>
      <c r="F58" s="2" t="s">
        <v>10</v>
      </c>
      <c r="G58" s="2" t="s">
        <v>14</v>
      </c>
      <c r="H58" s="2" t="s">
        <v>12</v>
      </c>
    </row>
    <row r="59" customFormat="false" ht="15" hidden="false" customHeight="false" outlineLevel="0" collapsed="false">
      <c r="A59" s="4" t="s">
        <v>27</v>
      </c>
      <c r="B59" s="4" t="s">
        <v>25</v>
      </c>
      <c r="C59" s="4" t="n">
        <v>20</v>
      </c>
      <c r="D59" s="4" t="n">
        <v>149</v>
      </c>
      <c r="E59" s="5" t="n">
        <f aca="false">C59*D59</f>
        <v>2980</v>
      </c>
      <c r="F59" s="4" t="s">
        <v>13</v>
      </c>
      <c r="G59" s="4" t="s">
        <v>11</v>
      </c>
      <c r="H59" s="4" t="s">
        <v>12</v>
      </c>
    </row>
    <row r="60" customFormat="false" ht="15" hidden="false" customHeight="false" outlineLevel="0" collapsed="false">
      <c r="A60" s="2" t="s">
        <v>27</v>
      </c>
      <c r="B60" s="2" t="s">
        <v>25</v>
      </c>
      <c r="C60" s="2" t="n">
        <v>72</v>
      </c>
      <c r="D60" s="2" t="n">
        <v>149</v>
      </c>
      <c r="E60" s="3" t="n">
        <f aca="false">C60*D60</f>
        <v>10728</v>
      </c>
      <c r="F60" s="2" t="s">
        <v>16</v>
      </c>
      <c r="G60" s="2" t="s">
        <v>11</v>
      </c>
      <c r="H60" s="2" t="s">
        <v>12</v>
      </c>
    </row>
    <row r="61" customFormat="false" ht="15" hidden="false" customHeight="false" outlineLevel="0" collapsed="false">
      <c r="A61" s="4" t="s">
        <v>27</v>
      </c>
      <c r="B61" s="4" t="s">
        <v>25</v>
      </c>
      <c r="C61" s="4" t="n">
        <v>26</v>
      </c>
      <c r="D61" s="4" t="n">
        <v>149</v>
      </c>
      <c r="E61" s="5" t="n">
        <f aca="false">C61*D61</f>
        <v>3874</v>
      </c>
      <c r="F61" s="4" t="s">
        <v>17</v>
      </c>
      <c r="G61" s="4" t="s">
        <v>14</v>
      </c>
      <c r="H61" s="4" t="s">
        <v>12</v>
      </c>
    </row>
    <row r="62" customFormat="false" ht="15" hidden="false" customHeight="false" outlineLevel="0" collapsed="false">
      <c r="A62" s="2" t="s">
        <v>28</v>
      </c>
      <c r="B62" s="2" t="s">
        <v>9</v>
      </c>
      <c r="C62" s="2" t="n">
        <v>70</v>
      </c>
      <c r="D62" s="2" t="n">
        <v>299</v>
      </c>
      <c r="E62" s="3" t="n">
        <f aca="false">C62*D62</f>
        <v>20930</v>
      </c>
      <c r="F62" s="2" t="s">
        <v>10</v>
      </c>
      <c r="G62" s="2" t="s">
        <v>19</v>
      </c>
      <c r="H62" s="2" t="s">
        <v>15</v>
      </c>
    </row>
    <row r="63" customFormat="false" ht="15" hidden="false" customHeight="false" outlineLevel="0" collapsed="false">
      <c r="A63" s="4" t="s">
        <v>28</v>
      </c>
      <c r="B63" s="4" t="s">
        <v>9</v>
      </c>
      <c r="C63" s="4" t="n">
        <v>43</v>
      </c>
      <c r="D63" s="4" t="n">
        <v>299</v>
      </c>
      <c r="E63" s="5" t="n">
        <f aca="false">C63*D63</f>
        <v>12857</v>
      </c>
      <c r="F63" s="4" t="s">
        <v>13</v>
      </c>
      <c r="G63" s="4" t="s">
        <v>19</v>
      </c>
      <c r="H63" s="4" t="s">
        <v>12</v>
      </c>
    </row>
    <row r="64" customFormat="false" ht="15" hidden="false" customHeight="false" outlineLevel="0" collapsed="false">
      <c r="A64" s="2" t="s">
        <v>28</v>
      </c>
      <c r="B64" s="2" t="s">
        <v>9</v>
      </c>
      <c r="C64" s="2" t="n">
        <v>64</v>
      </c>
      <c r="D64" s="2" t="n">
        <v>299</v>
      </c>
      <c r="E64" s="3" t="n">
        <f aca="false">C64*D64</f>
        <v>19136</v>
      </c>
      <c r="F64" s="2" t="s">
        <v>16</v>
      </c>
      <c r="G64" s="2" t="s">
        <v>14</v>
      </c>
      <c r="H64" s="2" t="s">
        <v>12</v>
      </c>
    </row>
    <row r="65" customFormat="false" ht="15" hidden="false" customHeight="false" outlineLevel="0" collapsed="false">
      <c r="A65" s="4" t="s">
        <v>28</v>
      </c>
      <c r="B65" s="4" t="s">
        <v>9</v>
      </c>
      <c r="C65" s="4" t="n">
        <v>35</v>
      </c>
      <c r="D65" s="4" t="n">
        <v>299</v>
      </c>
      <c r="E65" s="5" t="n">
        <f aca="false">C65*D65</f>
        <v>10465</v>
      </c>
      <c r="F65" s="4" t="s">
        <v>17</v>
      </c>
      <c r="G65" s="4" t="s">
        <v>23</v>
      </c>
      <c r="H65" s="4" t="s">
        <v>20</v>
      </c>
    </row>
    <row r="66" customFormat="false" ht="15" hidden="false" customHeight="false" outlineLevel="0" collapsed="false">
      <c r="A66" s="2" t="s">
        <v>28</v>
      </c>
      <c r="B66" s="2" t="s">
        <v>18</v>
      </c>
      <c r="C66" s="2" t="n">
        <v>57</v>
      </c>
      <c r="D66" s="2" t="n">
        <v>199</v>
      </c>
      <c r="E66" s="3" t="n">
        <f aca="false">C66*D66</f>
        <v>11343</v>
      </c>
      <c r="F66" s="2" t="s">
        <v>10</v>
      </c>
      <c r="G66" s="2" t="s">
        <v>22</v>
      </c>
      <c r="H66" s="2" t="s">
        <v>12</v>
      </c>
    </row>
    <row r="67" customFormat="false" ht="15" hidden="false" customHeight="false" outlineLevel="0" collapsed="false">
      <c r="A67" s="4" t="s">
        <v>28</v>
      </c>
      <c r="B67" s="4" t="s">
        <v>18</v>
      </c>
      <c r="C67" s="4" t="n">
        <v>67</v>
      </c>
      <c r="D67" s="4" t="n">
        <v>199</v>
      </c>
      <c r="E67" s="5" t="n">
        <f aca="false">C67*D67</f>
        <v>13333</v>
      </c>
      <c r="F67" s="4" t="s">
        <v>13</v>
      </c>
      <c r="G67" s="4" t="s">
        <v>11</v>
      </c>
      <c r="H67" s="4" t="s">
        <v>15</v>
      </c>
    </row>
    <row r="68" customFormat="false" ht="15" hidden="false" customHeight="false" outlineLevel="0" collapsed="false">
      <c r="A68" s="2" t="s">
        <v>28</v>
      </c>
      <c r="B68" s="2" t="s">
        <v>18</v>
      </c>
      <c r="C68" s="2" t="n">
        <v>38</v>
      </c>
      <c r="D68" s="2" t="n">
        <v>199</v>
      </c>
      <c r="E68" s="3" t="n">
        <f aca="false">C68*D68</f>
        <v>7562</v>
      </c>
      <c r="F68" s="2" t="s">
        <v>16</v>
      </c>
      <c r="G68" s="2" t="s">
        <v>11</v>
      </c>
      <c r="H68" s="2" t="s">
        <v>20</v>
      </c>
    </row>
    <row r="69" customFormat="false" ht="15" hidden="false" customHeight="false" outlineLevel="0" collapsed="false">
      <c r="A69" s="4" t="s">
        <v>28</v>
      </c>
      <c r="B69" s="4" t="s">
        <v>18</v>
      </c>
      <c r="C69" s="4" t="n">
        <v>12</v>
      </c>
      <c r="D69" s="4" t="n">
        <v>199</v>
      </c>
      <c r="E69" s="5" t="n">
        <f aca="false">C69*D69</f>
        <v>2388</v>
      </c>
      <c r="F69" s="4" t="s">
        <v>17</v>
      </c>
      <c r="G69" s="4" t="s">
        <v>19</v>
      </c>
      <c r="H69" s="4" t="s">
        <v>12</v>
      </c>
    </row>
    <row r="70" customFormat="false" ht="15" hidden="false" customHeight="false" outlineLevel="0" collapsed="false">
      <c r="A70" s="2" t="s">
        <v>28</v>
      </c>
      <c r="B70" s="2" t="s">
        <v>21</v>
      </c>
      <c r="C70" s="2" t="n">
        <v>39</v>
      </c>
      <c r="D70" s="2" t="n">
        <v>449</v>
      </c>
      <c r="E70" s="3" t="n">
        <f aca="false">C70*D70</f>
        <v>17511</v>
      </c>
      <c r="F70" s="2" t="s">
        <v>10</v>
      </c>
      <c r="G70" s="2" t="s">
        <v>19</v>
      </c>
      <c r="H70" s="2" t="s">
        <v>15</v>
      </c>
    </row>
    <row r="71" customFormat="false" ht="15" hidden="false" customHeight="false" outlineLevel="0" collapsed="false">
      <c r="A71" s="4" t="s">
        <v>28</v>
      </c>
      <c r="B71" s="4" t="s">
        <v>21</v>
      </c>
      <c r="C71" s="4" t="n">
        <v>10</v>
      </c>
      <c r="D71" s="4" t="n">
        <v>449</v>
      </c>
      <c r="E71" s="5" t="n">
        <f aca="false">C71*D71</f>
        <v>4490</v>
      </c>
      <c r="F71" s="4" t="s">
        <v>13</v>
      </c>
      <c r="G71" s="4" t="s">
        <v>11</v>
      </c>
      <c r="H71" s="4" t="s">
        <v>12</v>
      </c>
    </row>
    <row r="72" customFormat="false" ht="15" hidden="false" customHeight="false" outlineLevel="0" collapsed="false">
      <c r="A72" s="2" t="s">
        <v>28</v>
      </c>
      <c r="B72" s="2" t="s">
        <v>21</v>
      </c>
      <c r="C72" s="2" t="n">
        <v>17</v>
      </c>
      <c r="D72" s="2" t="n">
        <v>449</v>
      </c>
      <c r="E72" s="3" t="n">
        <f aca="false">C72*D72</f>
        <v>7633</v>
      </c>
      <c r="F72" s="2" t="s">
        <v>16</v>
      </c>
      <c r="G72" s="2" t="s">
        <v>14</v>
      </c>
      <c r="H72" s="2" t="s">
        <v>15</v>
      </c>
    </row>
    <row r="73" customFormat="false" ht="15" hidden="false" customHeight="false" outlineLevel="0" collapsed="false">
      <c r="A73" s="4" t="s">
        <v>28</v>
      </c>
      <c r="B73" s="4" t="s">
        <v>21</v>
      </c>
      <c r="C73" s="4" t="n">
        <v>14</v>
      </c>
      <c r="D73" s="4" t="n">
        <v>449</v>
      </c>
      <c r="E73" s="5" t="n">
        <f aca="false">C73*D73</f>
        <v>6286</v>
      </c>
      <c r="F73" s="4" t="s">
        <v>17</v>
      </c>
      <c r="G73" s="4" t="s">
        <v>23</v>
      </c>
      <c r="H73" s="4" t="s">
        <v>15</v>
      </c>
    </row>
    <row r="74" customFormat="false" ht="15" hidden="false" customHeight="false" outlineLevel="0" collapsed="false">
      <c r="A74" s="2" t="s">
        <v>28</v>
      </c>
      <c r="B74" s="2" t="s">
        <v>24</v>
      </c>
      <c r="C74" s="2" t="n">
        <v>75</v>
      </c>
      <c r="D74" s="2" t="n">
        <v>349</v>
      </c>
      <c r="E74" s="3" t="n">
        <f aca="false">C74*D74</f>
        <v>26175</v>
      </c>
      <c r="F74" s="2" t="s">
        <v>10</v>
      </c>
      <c r="G74" s="2" t="s">
        <v>14</v>
      </c>
      <c r="H74" s="2" t="s">
        <v>20</v>
      </c>
    </row>
    <row r="75" customFormat="false" ht="15" hidden="false" customHeight="false" outlineLevel="0" collapsed="false">
      <c r="A75" s="4" t="s">
        <v>28</v>
      </c>
      <c r="B75" s="4" t="s">
        <v>24</v>
      </c>
      <c r="C75" s="4" t="n">
        <v>72</v>
      </c>
      <c r="D75" s="4" t="n">
        <v>349</v>
      </c>
      <c r="E75" s="5" t="n">
        <f aca="false">C75*D75</f>
        <v>25128</v>
      </c>
      <c r="F75" s="4" t="s">
        <v>13</v>
      </c>
      <c r="G75" s="4" t="s">
        <v>14</v>
      </c>
      <c r="H75" s="4" t="s">
        <v>12</v>
      </c>
    </row>
    <row r="76" customFormat="false" ht="15" hidden="false" customHeight="false" outlineLevel="0" collapsed="false">
      <c r="A76" s="2" t="s">
        <v>28</v>
      </c>
      <c r="B76" s="2" t="s">
        <v>24</v>
      </c>
      <c r="C76" s="2" t="n">
        <v>26</v>
      </c>
      <c r="D76" s="2" t="n">
        <v>349</v>
      </c>
      <c r="E76" s="3" t="n">
        <f aca="false">C76*D76</f>
        <v>9074</v>
      </c>
      <c r="F76" s="2" t="s">
        <v>16</v>
      </c>
      <c r="G76" s="2" t="s">
        <v>19</v>
      </c>
      <c r="H76" s="2" t="s">
        <v>12</v>
      </c>
    </row>
    <row r="77" customFormat="false" ht="15" hidden="false" customHeight="false" outlineLevel="0" collapsed="false">
      <c r="A77" s="4" t="s">
        <v>28</v>
      </c>
      <c r="B77" s="4" t="s">
        <v>24</v>
      </c>
      <c r="C77" s="4" t="n">
        <v>70</v>
      </c>
      <c r="D77" s="4" t="n">
        <v>349</v>
      </c>
      <c r="E77" s="5" t="n">
        <f aca="false">C77*D77</f>
        <v>24430</v>
      </c>
      <c r="F77" s="4" t="s">
        <v>17</v>
      </c>
      <c r="G77" s="4" t="s">
        <v>14</v>
      </c>
      <c r="H77" s="4" t="s">
        <v>20</v>
      </c>
    </row>
    <row r="78" customFormat="false" ht="15" hidden="false" customHeight="false" outlineLevel="0" collapsed="false">
      <c r="A78" s="2" t="s">
        <v>28</v>
      </c>
      <c r="B78" s="2" t="s">
        <v>25</v>
      </c>
      <c r="C78" s="2" t="n">
        <v>62</v>
      </c>
      <c r="D78" s="2" t="n">
        <v>149</v>
      </c>
      <c r="E78" s="3" t="n">
        <f aca="false">C78*D78</f>
        <v>9238</v>
      </c>
      <c r="F78" s="2" t="s">
        <v>10</v>
      </c>
      <c r="G78" s="2" t="s">
        <v>14</v>
      </c>
      <c r="H78" s="2" t="s">
        <v>15</v>
      </c>
    </row>
    <row r="79" customFormat="false" ht="15" hidden="false" customHeight="false" outlineLevel="0" collapsed="false">
      <c r="A79" s="4" t="s">
        <v>28</v>
      </c>
      <c r="B79" s="4" t="s">
        <v>25</v>
      </c>
      <c r="C79" s="4" t="n">
        <v>22</v>
      </c>
      <c r="D79" s="4" t="n">
        <v>149</v>
      </c>
      <c r="E79" s="5" t="n">
        <f aca="false">C79*D79</f>
        <v>3278</v>
      </c>
      <c r="F79" s="4" t="s">
        <v>13</v>
      </c>
      <c r="G79" s="4" t="s">
        <v>22</v>
      </c>
      <c r="H79" s="4" t="s">
        <v>20</v>
      </c>
    </row>
    <row r="80" customFormat="false" ht="15" hidden="false" customHeight="false" outlineLevel="0" collapsed="false">
      <c r="A80" s="2" t="s">
        <v>28</v>
      </c>
      <c r="B80" s="2" t="s">
        <v>25</v>
      </c>
      <c r="C80" s="2" t="n">
        <v>64</v>
      </c>
      <c r="D80" s="2" t="n">
        <v>149</v>
      </c>
      <c r="E80" s="3" t="n">
        <f aca="false">C80*D80</f>
        <v>9536</v>
      </c>
      <c r="F80" s="2" t="s">
        <v>16</v>
      </c>
      <c r="G80" s="2" t="s">
        <v>22</v>
      </c>
      <c r="H80" s="2" t="s">
        <v>20</v>
      </c>
    </row>
    <row r="81" customFormat="false" ht="15" hidden="false" customHeight="false" outlineLevel="0" collapsed="false">
      <c r="A81" s="4" t="s">
        <v>28</v>
      </c>
      <c r="B81" s="4" t="s">
        <v>25</v>
      </c>
      <c r="C81" s="4" t="n">
        <v>16</v>
      </c>
      <c r="D81" s="4" t="n">
        <v>149</v>
      </c>
      <c r="E81" s="5" t="n">
        <f aca="false">C81*D81</f>
        <v>2384</v>
      </c>
      <c r="F81" s="4" t="s">
        <v>17</v>
      </c>
      <c r="G81" s="4" t="s">
        <v>11</v>
      </c>
      <c r="H81" s="4" t="s">
        <v>15</v>
      </c>
    </row>
    <row r="82" customFormat="false" ht="15" hidden="false" customHeight="false" outlineLevel="0" collapsed="false">
      <c r="A82" s="2" t="s">
        <v>29</v>
      </c>
      <c r="B82" s="2" t="s">
        <v>9</v>
      </c>
      <c r="C82" s="2" t="n">
        <v>61</v>
      </c>
      <c r="D82" s="2" t="n">
        <v>299</v>
      </c>
      <c r="E82" s="3" t="n">
        <f aca="false">C82*D82</f>
        <v>18239</v>
      </c>
      <c r="F82" s="2" t="s">
        <v>10</v>
      </c>
      <c r="G82" s="2" t="s">
        <v>23</v>
      </c>
      <c r="H82" s="2" t="s">
        <v>15</v>
      </c>
    </row>
    <row r="83" customFormat="false" ht="15" hidden="false" customHeight="false" outlineLevel="0" collapsed="false">
      <c r="A83" s="4" t="s">
        <v>29</v>
      </c>
      <c r="B83" s="4" t="s">
        <v>9</v>
      </c>
      <c r="C83" s="4" t="n">
        <v>41</v>
      </c>
      <c r="D83" s="4" t="n">
        <v>299</v>
      </c>
      <c r="E83" s="5" t="n">
        <f aca="false">C83*D83</f>
        <v>12259</v>
      </c>
      <c r="F83" s="4" t="s">
        <v>13</v>
      </c>
      <c r="G83" s="4" t="s">
        <v>14</v>
      </c>
      <c r="H83" s="4" t="s">
        <v>15</v>
      </c>
    </row>
    <row r="84" customFormat="false" ht="15" hidden="false" customHeight="false" outlineLevel="0" collapsed="false">
      <c r="A84" s="2" t="s">
        <v>29</v>
      </c>
      <c r="B84" s="2" t="s">
        <v>9</v>
      </c>
      <c r="C84" s="2" t="n">
        <v>78</v>
      </c>
      <c r="D84" s="2" t="n">
        <v>299</v>
      </c>
      <c r="E84" s="3" t="n">
        <f aca="false">C84*D84</f>
        <v>23322</v>
      </c>
      <c r="F84" s="2" t="s">
        <v>16</v>
      </c>
      <c r="G84" s="2" t="s">
        <v>22</v>
      </c>
      <c r="H84" s="2" t="s">
        <v>15</v>
      </c>
    </row>
    <row r="85" customFormat="false" ht="15" hidden="false" customHeight="false" outlineLevel="0" collapsed="false">
      <c r="A85" s="4" t="s">
        <v>29</v>
      </c>
      <c r="B85" s="4" t="s">
        <v>9</v>
      </c>
      <c r="C85" s="4" t="n">
        <v>64</v>
      </c>
      <c r="D85" s="4" t="n">
        <v>299</v>
      </c>
      <c r="E85" s="5" t="n">
        <f aca="false">C85*D85</f>
        <v>19136</v>
      </c>
      <c r="F85" s="4" t="s">
        <v>17</v>
      </c>
      <c r="G85" s="4" t="s">
        <v>14</v>
      </c>
      <c r="H85" s="4" t="s">
        <v>20</v>
      </c>
    </row>
    <row r="86" customFormat="false" ht="15" hidden="false" customHeight="false" outlineLevel="0" collapsed="false">
      <c r="A86" s="2" t="s">
        <v>29</v>
      </c>
      <c r="B86" s="2" t="s">
        <v>18</v>
      </c>
      <c r="C86" s="2" t="n">
        <v>69</v>
      </c>
      <c r="D86" s="2" t="n">
        <v>199</v>
      </c>
      <c r="E86" s="3" t="n">
        <f aca="false">C86*D86</f>
        <v>13731</v>
      </c>
      <c r="F86" s="2" t="s">
        <v>10</v>
      </c>
      <c r="G86" s="2" t="s">
        <v>14</v>
      </c>
      <c r="H86" s="2" t="s">
        <v>15</v>
      </c>
    </row>
    <row r="87" customFormat="false" ht="15" hidden="false" customHeight="false" outlineLevel="0" collapsed="false">
      <c r="A87" s="4" t="s">
        <v>29</v>
      </c>
      <c r="B87" s="4" t="s">
        <v>18</v>
      </c>
      <c r="C87" s="4" t="n">
        <v>66</v>
      </c>
      <c r="D87" s="4" t="n">
        <v>199</v>
      </c>
      <c r="E87" s="5" t="n">
        <f aca="false">C87*D87</f>
        <v>13134</v>
      </c>
      <c r="F87" s="4" t="s">
        <v>13</v>
      </c>
      <c r="G87" s="4" t="s">
        <v>19</v>
      </c>
      <c r="H87" s="4" t="s">
        <v>15</v>
      </c>
    </row>
    <row r="88" customFormat="false" ht="15" hidden="false" customHeight="false" outlineLevel="0" collapsed="false">
      <c r="A88" s="2" t="s">
        <v>29</v>
      </c>
      <c r="B88" s="2" t="s">
        <v>18</v>
      </c>
      <c r="C88" s="2" t="n">
        <v>16</v>
      </c>
      <c r="D88" s="2" t="n">
        <v>199</v>
      </c>
      <c r="E88" s="3" t="n">
        <f aca="false">C88*D88</f>
        <v>3184</v>
      </c>
      <c r="F88" s="2" t="s">
        <v>16</v>
      </c>
      <c r="G88" s="2" t="s">
        <v>19</v>
      </c>
      <c r="H88" s="2" t="s">
        <v>15</v>
      </c>
    </row>
    <row r="89" customFormat="false" ht="15" hidden="false" customHeight="false" outlineLevel="0" collapsed="false">
      <c r="A89" s="4" t="s">
        <v>29</v>
      </c>
      <c r="B89" s="4" t="s">
        <v>18</v>
      </c>
      <c r="C89" s="4" t="n">
        <v>21</v>
      </c>
      <c r="D89" s="4" t="n">
        <v>199</v>
      </c>
      <c r="E89" s="5" t="n">
        <f aca="false">C89*D89</f>
        <v>4179</v>
      </c>
      <c r="F89" s="4" t="s">
        <v>17</v>
      </c>
      <c r="G89" s="4" t="s">
        <v>14</v>
      </c>
      <c r="H89" s="4" t="s">
        <v>15</v>
      </c>
    </row>
    <row r="90" customFormat="false" ht="15" hidden="false" customHeight="false" outlineLevel="0" collapsed="false">
      <c r="A90" s="2" t="s">
        <v>29</v>
      </c>
      <c r="B90" s="2" t="s">
        <v>21</v>
      </c>
      <c r="C90" s="2" t="n">
        <v>62</v>
      </c>
      <c r="D90" s="2" t="n">
        <v>449</v>
      </c>
      <c r="E90" s="3" t="n">
        <f aca="false">C90*D90</f>
        <v>27838</v>
      </c>
      <c r="F90" s="2" t="s">
        <v>10</v>
      </c>
      <c r="G90" s="2" t="s">
        <v>22</v>
      </c>
      <c r="H90" s="2" t="s">
        <v>20</v>
      </c>
    </row>
    <row r="91" customFormat="false" ht="15" hidden="false" customHeight="false" outlineLevel="0" collapsed="false">
      <c r="A91" s="4" t="s">
        <v>29</v>
      </c>
      <c r="B91" s="4" t="s">
        <v>21</v>
      </c>
      <c r="C91" s="4" t="n">
        <v>37</v>
      </c>
      <c r="D91" s="4" t="n">
        <v>449</v>
      </c>
      <c r="E91" s="5" t="n">
        <f aca="false">C91*D91</f>
        <v>16613</v>
      </c>
      <c r="F91" s="4" t="s">
        <v>13</v>
      </c>
      <c r="G91" s="4" t="s">
        <v>22</v>
      </c>
      <c r="H91" s="4" t="s">
        <v>15</v>
      </c>
    </row>
    <row r="92" customFormat="false" ht="15" hidden="false" customHeight="false" outlineLevel="0" collapsed="false">
      <c r="A92" s="2" t="s">
        <v>29</v>
      </c>
      <c r="B92" s="2" t="s">
        <v>21</v>
      </c>
      <c r="C92" s="2" t="n">
        <v>31</v>
      </c>
      <c r="D92" s="2" t="n">
        <v>449</v>
      </c>
      <c r="E92" s="3" t="n">
        <f aca="false">C92*D92</f>
        <v>13919</v>
      </c>
      <c r="F92" s="2" t="s">
        <v>16</v>
      </c>
      <c r="G92" s="2" t="s">
        <v>22</v>
      </c>
      <c r="H92" s="2" t="s">
        <v>15</v>
      </c>
    </row>
    <row r="93" customFormat="false" ht="15" hidden="false" customHeight="false" outlineLevel="0" collapsed="false">
      <c r="A93" s="4" t="s">
        <v>29</v>
      </c>
      <c r="B93" s="4" t="s">
        <v>21</v>
      </c>
      <c r="C93" s="4" t="n">
        <v>59</v>
      </c>
      <c r="D93" s="4" t="n">
        <v>449</v>
      </c>
      <c r="E93" s="5" t="n">
        <f aca="false">C93*D93</f>
        <v>26491</v>
      </c>
      <c r="F93" s="4" t="s">
        <v>17</v>
      </c>
      <c r="G93" s="4" t="s">
        <v>23</v>
      </c>
      <c r="H93" s="4" t="s">
        <v>20</v>
      </c>
    </row>
    <row r="94" customFormat="false" ht="15" hidden="false" customHeight="false" outlineLevel="0" collapsed="false">
      <c r="A94" s="2" t="s">
        <v>29</v>
      </c>
      <c r="B94" s="2" t="s">
        <v>24</v>
      </c>
      <c r="C94" s="2" t="n">
        <v>46</v>
      </c>
      <c r="D94" s="2" t="n">
        <v>349</v>
      </c>
      <c r="E94" s="3" t="n">
        <f aca="false">C94*D94</f>
        <v>16054</v>
      </c>
      <c r="F94" s="2" t="s">
        <v>10</v>
      </c>
      <c r="G94" s="2" t="s">
        <v>22</v>
      </c>
      <c r="H94" s="2" t="s">
        <v>12</v>
      </c>
    </row>
    <row r="95" customFormat="false" ht="15" hidden="false" customHeight="false" outlineLevel="0" collapsed="false">
      <c r="A95" s="4" t="s">
        <v>29</v>
      </c>
      <c r="B95" s="4" t="s">
        <v>24</v>
      </c>
      <c r="C95" s="4" t="n">
        <v>72</v>
      </c>
      <c r="D95" s="4" t="n">
        <v>349</v>
      </c>
      <c r="E95" s="5" t="n">
        <f aca="false">C95*D95</f>
        <v>25128</v>
      </c>
      <c r="F95" s="4" t="s">
        <v>13</v>
      </c>
      <c r="G95" s="4" t="s">
        <v>14</v>
      </c>
      <c r="H95" s="4" t="s">
        <v>15</v>
      </c>
    </row>
    <row r="96" customFormat="false" ht="15" hidden="false" customHeight="false" outlineLevel="0" collapsed="false">
      <c r="A96" s="2" t="s">
        <v>29</v>
      </c>
      <c r="B96" s="2" t="s">
        <v>24</v>
      </c>
      <c r="C96" s="2" t="n">
        <v>47</v>
      </c>
      <c r="D96" s="2" t="n">
        <v>349</v>
      </c>
      <c r="E96" s="3" t="n">
        <f aca="false">C96*D96</f>
        <v>16403</v>
      </c>
      <c r="F96" s="2" t="s">
        <v>16</v>
      </c>
      <c r="G96" s="2" t="s">
        <v>14</v>
      </c>
      <c r="H96" s="2" t="s">
        <v>15</v>
      </c>
    </row>
    <row r="97" customFormat="false" ht="15" hidden="false" customHeight="false" outlineLevel="0" collapsed="false">
      <c r="A97" s="4" t="s">
        <v>29</v>
      </c>
      <c r="B97" s="4" t="s">
        <v>24</v>
      </c>
      <c r="C97" s="4" t="n">
        <v>79</v>
      </c>
      <c r="D97" s="4" t="n">
        <v>349</v>
      </c>
      <c r="E97" s="5" t="n">
        <f aca="false">C97*D97</f>
        <v>27571</v>
      </c>
      <c r="F97" s="4" t="s">
        <v>17</v>
      </c>
      <c r="G97" s="4" t="s">
        <v>11</v>
      </c>
      <c r="H97" s="4" t="s">
        <v>12</v>
      </c>
    </row>
    <row r="98" customFormat="false" ht="15" hidden="false" customHeight="false" outlineLevel="0" collapsed="false">
      <c r="A98" s="2" t="s">
        <v>29</v>
      </c>
      <c r="B98" s="2" t="s">
        <v>25</v>
      </c>
      <c r="C98" s="2" t="n">
        <v>50</v>
      </c>
      <c r="D98" s="2" t="n">
        <v>149</v>
      </c>
      <c r="E98" s="3" t="n">
        <f aca="false">C98*D98</f>
        <v>7450</v>
      </c>
      <c r="F98" s="2" t="s">
        <v>10</v>
      </c>
      <c r="G98" s="2" t="s">
        <v>11</v>
      </c>
      <c r="H98" s="2" t="s">
        <v>15</v>
      </c>
    </row>
    <row r="99" customFormat="false" ht="15" hidden="false" customHeight="false" outlineLevel="0" collapsed="false">
      <c r="A99" s="4" t="s">
        <v>29</v>
      </c>
      <c r="B99" s="4" t="s">
        <v>25</v>
      </c>
      <c r="C99" s="4" t="n">
        <v>71</v>
      </c>
      <c r="D99" s="4" t="n">
        <v>149</v>
      </c>
      <c r="E99" s="5" t="n">
        <f aca="false">C99*D99</f>
        <v>10579</v>
      </c>
      <c r="F99" s="4" t="s">
        <v>13</v>
      </c>
      <c r="G99" s="4" t="s">
        <v>19</v>
      </c>
      <c r="H99" s="4" t="s">
        <v>12</v>
      </c>
    </row>
    <row r="100" customFormat="false" ht="15" hidden="false" customHeight="false" outlineLevel="0" collapsed="false">
      <c r="A100" s="2" t="s">
        <v>29</v>
      </c>
      <c r="B100" s="2" t="s">
        <v>25</v>
      </c>
      <c r="C100" s="2" t="n">
        <v>30</v>
      </c>
      <c r="D100" s="2" t="n">
        <v>149</v>
      </c>
      <c r="E100" s="3" t="n">
        <f aca="false">C100*D100</f>
        <v>4470</v>
      </c>
      <c r="F100" s="2" t="s">
        <v>16</v>
      </c>
      <c r="G100" s="2" t="s">
        <v>11</v>
      </c>
      <c r="H100" s="2" t="s">
        <v>12</v>
      </c>
    </row>
    <row r="101" customFormat="false" ht="15" hidden="false" customHeight="false" outlineLevel="0" collapsed="false">
      <c r="A101" s="4" t="s">
        <v>29</v>
      </c>
      <c r="B101" s="4" t="s">
        <v>25</v>
      </c>
      <c r="C101" s="4" t="n">
        <v>20</v>
      </c>
      <c r="D101" s="4" t="n">
        <v>149</v>
      </c>
      <c r="E101" s="5" t="n">
        <f aca="false">C101*D101</f>
        <v>2980</v>
      </c>
      <c r="F101" s="4" t="s">
        <v>17</v>
      </c>
      <c r="G101" s="4" t="s">
        <v>14</v>
      </c>
      <c r="H101" s="4" t="s">
        <v>15</v>
      </c>
    </row>
    <row r="102" customFormat="false" ht="15" hidden="false" customHeight="false" outlineLevel="0" collapsed="false">
      <c r="A102" s="2" t="s">
        <v>30</v>
      </c>
      <c r="B102" s="2" t="s">
        <v>9</v>
      </c>
      <c r="C102" s="2" t="n">
        <v>18</v>
      </c>
      <c r="D102" s="2" t="n">
        <v>299</v>
      </c>
      <c r="E102" s="3" t="n">
        <f aca="false">C102*D102</f>
        <v>5382</v>
      </c>
      <c r="F102" s="2" t="s">
        <v>10</v>
      </c>
      <c r="G102" s="2" t="s">
        <v>14</v>
      </c>
      <c r="H102" s="2" t="s">
        <v>20</v>
      </c>
    </row>
    <row r="103" customFormat="false" ht="15" hidden="false" customHeight="false" outlineLevel="0" collapsed="false">
      <c r="A103" s="4" t="s">
        <v>30</v>
      </c>
      <c r="B103" s="4" t="s">
        <v>9</v>
      </c>
      <c r="C103" s="4" t="n">
        <v>25</v>
      </c>
      <c r="D103" s="4" t="n">
        <v>299</v>
      </c>
      <c r="E103" s="5" t="n">
        <f aca="false">C103*D103</f>
        <v>7475</v>
      </c>
      <c r="F103" s="4" t="s">
        <v>13</v>
      </c>
      <c r="G103" s="4" t="s">
        <v>19</v>
      </c>
      <c r="H103" s="4" t="s">
        <v>15</v>
      </c>
    </row>
    <row r="104" customFormat="false" ht="15" hidden="false" customHeight="false" outlineLevel="0" collapsed="false">
      <c r="A104" s="2" t="s">
        <v>30</v>
      </c>
      <c r="B104" s="2" t="s">
        <v>9</v>
      </c>
      <c r="C104" s="2" t="n">
        <v>15</v>
      </c>
      <c r="D104" s="2" t="n">
        <v>299</v>
      </c>
      <c r="E104" s="3" t="n">
        <f aca="false">C104*D104</f>
        <v>4485</v>
      </c>
      <c r="F104" s="2" t="s">
        <v>16</v>
      </c>
      <c r="G104" s="2" t="s">
        <v>19</v>
      </c>
      <c r="H104" s="2" t="s">
        <v>15</v>
      </c>
    </row>
    <row r="105" customFormat="false" ht="15" hidden="false" customHeight="false" outlineLevel="0" collapsed="false">
      <c r="A105" s="4" t="s">
        <v>30</v>
      </c>
      <c r="B105" s="4" t="s">
        <v>9</v>
      </c>
      <c r="C105" s="4" t="n">
        <v>63</v>
      </c>
      <c r="D105" s="4" t="n">
        <v>299</v>
      </c>
      <c r="E105" s="5" t="n">
        <f aca="false">C105*D105</f>
        <v>18837</v>
      </c>
      <c r="F105" s="4" t="s">
        <v>17</v>
      </c>
      <c r="G105" s="4" t="s">
        <v>19</v>
      </c>
      <c r="H105" s="4" t="s">
        <v>12</v>
      </c>
    </row>
    <row r="106" customFormat="false" ht="15" hidden="false" customHeight="false" outlineLevel="0" collapsed="false">
      <c r="A106" s="2" t="s">
        <v>30</v>
      </c>
      <c r="B106" s="2" t="s">
        <v>18</v>
      </c>
      <c r="C106" s="2" t="n">
        <v>76</v>
      </c>
      <c r="D106" s="2" t="n">
        <v>199</v>
      </c>
      <c r="E106" s="3" t="n">
        <f aca="false">C106*D106</f>
        <v>15124</v>
      </c>
      <c r="F106" s="2" t="s">
        <v>10</v>
      </c>
      <c r="G106" s="2" t="s">
        <v>23</v>
      </c>
      <c r="H106" s="2" t="s">
        <v>20</v>
      </c>
    </row>
    <row r="107" customFormat="false" ht="15" hidden="false" customHeight="false" outlineLevel="0" collapsed="false">
      <c r="A107" s="4" t="s">
        <v>30</v>
      </c>
      <c r="B107" s="4" t="s">
        <v>18</v>
      </c>
      <c r="C107" s="4" t="n">
        <v>36</v>
      </c>
      <c r="D107" s="4" t="n">
        <v>199</v>
      </c>
      <c r="E107" s="5" t="n">
        <f aca="false">C107*D107</f>
        <v>7164</v>
      </c>
      <c r="F107" s="4" t="s">
        <v>13</v>
      </c>
      <c r="G107" s="4" t="s">
        <v>23</v>
      </c>
      <c r="H107" s="4" t="s">
        <v>15</v>
      </c>
    </row>
    <row r="108" customFormat="false" ht="15" hidden="false" customHeight="false" outlineLevel="0" collapsed="false">
      <c r="A108" s="2" t="s">
        <v>30</v>
      </c>
      <c r="B108" s="2" t="s">
        <v>18</v>
      </c>
      <c r="C108" s="2" t="n">
        <v>43</v>
      </c>
      <c r="D108" s="2" t="n">
        <v>199</v>
      </c>
      <c r="E108" s="3" t="n">
        <f aca="false">C108*D108</f>
        <v>8557</v>
      </c>
      <c r="F108" s="2" t="s">
        <v>16</v>
      </c>
      <c r="G108" s="2" t="s">
        <v>22</v>
      </c>
      <c r="H108" s="2" t="s">
        <v>15</v>
      </c>
    </row>
    <row r="109" customFormat="false" ht="15" hidden="false" customHeight="false" outlineLevel="0" collapsed="false">
      <c r="A109" s="4" t="s">
        <v>30</v>
      </c>
      <c r="B109" s="4" t="s">
        <v>18</v>
      </c>
      <c r="C109" s="4" t="n">
        <v>48</v>
      </c>
      <c r="D109" s="4" t="n">
        <v>199</v>
      </c>
      <c r="E109" s="5" t="n">
        <f aca="false">C109*D109</f>
        <v>9552</v>
      </c>
      <c r="F109" s="4" t="s">
        <v>17</v>
      </c>
      <c r="G109" s="4" t="s">
        <v>22</v>
      </c>
      <c r="H109" s="4" t="s">
        <v>20</v>
      </c>
    </row>
    <row r="110" customFormat="false" ht="15" hidden="false" customHeight="false" outlineLevel="0" collapsed="false">
      <c r="A110" s="2" t="s">
        <v>30</v>
      </c>
      <c r="B110" s="2" t="s">
        <v>21</v>
      </c>
      <c r="C110" s="2" t="n">
        <v>19</v>
      </c>
      <c r="D110" s="2" t="n">
        <v>449</v>
      </c>
      <c r="E110" s="3" t="n">
        <f aca="false">C110*D110</f>
        <v>8531</v>
      </c>
      <c r="F110" s="2" t="s">
        <v>10</v>
      </c>
      <c r="G110" s="2" t="s">
        <v>11</v>
      </c>
      <c r="H110" s="2" t="s">
        <v>20</v>
      </c>
    </row>
    <row r="111" customFormat="false" ht="15" hidden="false" customHeight="false" outlineLevel="0" collapsed="false">
      <c r="A111" s="4" t="s">
        <v>30</v>
      </c>
      <c r="B111" s="4" t="s">
        <v>21</v>
      </c>
      <c r="C111" s="4" t="n">
        <v>22</v>
      </c>
      <c r="D111" s="4" t="n">
        <v>449</v>
      </c>
      <c r="E111" s="5" t="n">
        <f aca="false">C111*D111</f>
        <v>9878</v>
      </c>
      <c r="F111" s="4" t="s">
        <v>13</v>
      </c>
      <c r="G111" s="4" t="s">
        <v>11</v>
      </c>
      <c r="H111" s="4" t="s">
        <v>12</v>
      </c>
    </row>
    <row r="112" customFormat="false" ht="15" hidden="false" customHeight="false" outlineLevel="0" collapsed="false">
      <c r="A112" s="2" t="s">
        <v>30</v>
      </c>
      <c r="B112" s="2" t="s">
        <v>21</v>
      </c>
      <c r="C112" s="2" t="n">
        <v>37</v>
      </c>
      <c r="D112" s="2" t="n">
        <v>449</v>
      </c>
      <c r="E112" s="3" t="n">
        <f aca="false">C112*D112</f>
        <v>16613</v>
      </c>
      <c r="F112" s="2" t="s">
        <v>16</v>
      </c>
      <c r="G112" s="2" t="s">
        <v>19</v>
      </c>
      <c r="H112" s="2" t="s">
        <v>20</v>
      </c>
    </row>
    <row r="113" customFormat="false" ht="15" hidden="false" customHeight="false" outlineLevel="0" collapsed="false">
      <c r="A113" s="4" t="s">
        <v>30</v>
      </c>
      <c r="B113" s="4" t="s">
        <v>21</v>
      </c>
      <c r="C113" s="4" t="n">
        <v>26</v>
      </c>
      <c r="D113" s="4" t="n">
        <v>449</v>
      </c>
      <c r="E113" s="5" t="n">
        <f aca="false">C113*D113</f>
        <v>11674</v>
      </c>
      <c r="F113" s="4" t="s">
        <v>17</v>
      </c>
      <c r="G113" s="4" t="s">
        <v>23</v>
      </c>
      <c r="H113" s="4" t="s">
        <v>15</v>
      </c>
    </row>
    <row r="114" customFormat="false" ht="15" hidden="false" customHeight="false" outlineLevel="0" collapsed="false">
      <c r="A114" s="2" t="s">
        <v>30</v>
      </c>
      <c r="B114" s="2" t="s">
        <v>24</v>
      </c>
      <c r="C114" s="2" t="n">
        <v>41</v>
      </c>
      <c r="D114" s="2" t="n">
        <v>349</v>
      </c>
      <c r="E114" s="3" t="n">
        <f aca="false">C114*D114</f>
        <v>14309</v>
      </c>
      <c r="F114" s="2" t="s">
        <v>10</v>
      </c>
      <c r="G114" s="2" t="s">
        <v>23</v>
      </c>
      <c r="H114" s="2" t="s">
        <v>20</v>
      </c>
    </row>
    <row r="115" customFormat="false" ht="15" hidden="false" customHeight="false" outlineLevel="0" collapsed="false">
      <c r="A115" s="4" t="s">
        <v>30</v>
      </c>
      <c r="B115" s="4" t="s">
        <v>24</v>
      </c>
      <c r="C115" s="4" t="n">
        <v>30</v>
      </c>
      <c r="D115" s="4" t="n">
        <v>349</v>
      </c>
      <c r="E115" s="5" t="n">
        <f aca="false">C115*D115</f>
        <v>10470</v>
      </c>
      <c r="F115" s="4" t="s">
        <v>13</v>
      </c>
      <c r="G115" s="4" t="s">
        <v>22</v>
      </c>
      <c r="H115" s="4" t="s">
        <v>12</v>
      </c>
    </row>
    <row r="116" customFormat="false" ht="15" hidden="false" customHeight="false" outlineLevel="0" collapsed="false">
      <c r="A116" s="2" t="s">
        <v>30</v>
      </c>
      <c r="B116" s="2" t="s">
        <v>24</v>
      </c>
      <c r="C116" s="2" t="n">
        <v>48</v>
      </c>
      <c r="D116" s="2" t="n">
        <v>349</v>
      </c>
      <c r="E116" s="3" t="n">
        <f aca="false">C116*D116</f>
        <v>16752</v>
      </c>
      <c r="F116" s="2" t="s">
        <v>16</v>
      </c>
      <c r="G116" s="2" t="s">
        <v>19</v>
      </c>
      <c r="H116" s="2" t="s">
        <v>12</v>
      </c>
    </row>
    <row r="117" customFormat="false" ht="15" hidden="false" customHeight="false" outlineLevel="0" collapsed="false">
      <c r="A117" s="4" t="s">
        <v>30</v>
      </c>
      <c r="B117" s="4" t="s">
        <v>24</v>
      </c>
      <c r="C117" s="4" t="n">
        <v>77</v>
      </c>
      <c r="D117" s="4" t="n">
        <v>349</v>
      </c>
      <c r="E117" s="5" t="n">
        <f aca="false">C117*D117</f>
        <v>26873</v>
      </c>
      <c r="F117" s="4" t="s">
        <v>17</v>
      </c>
      <c r="G117" s="4" t="s">
        <v>11</v>
      </c>
      <c r="H117" s="4" t="s">
        <v>12</v>
      </c>
    </row>
    <row r="118" customFormat="false" ht="15" hidden="false" customHeight="false" outlineLevel="0" collapsed="false">
      <c r="A118" s="2" t="s">
        <v>30</v>
      </c>
      <c r="B118" s="2" t="s">
        <v>25</v>
      </c>
      <c r="C118" s="2" t="n">
        <v>80</v>
      </c>
      <c r="D118" s="2" t="n">
        <v>149</v>
      </c>
      <c r="E118" s="3" t="n">
        <f aca="false">C118*D118</f>
        <v>11920</v>
      </c>
      <c r="F118" s="2" t="s">
        <v>10</v>
      </c>
      <c r="G118" s="2" t="s">
        <v>23</v>
      </c>
      <c r="H118" s="2" t="s">
        <v>12</v>
      </c>
    </row>
    <row r="119" customFormat="false" ht="15" hidden="false" customHeight="false" outlineLevel="0" collapsed="false">
      <c r="A119" s="4" t="s">
        <v>30</v>
      </c>
      <c r="B119" s="4" t="s">
        <v>25</v>
      </c>
      <c r="C119" s="4" t="n">
        <v>23</v>
      </c>
      <c r="D119" s="4" t="n">
        <v>149</v>
      </c>
      <c r="E119" s="5" t="n">
        <f aca="false">C119*D119</f>
        <v>3427</v>
      </c>
      <c r="F119" s="4" t="s">
        <v>13</v>
      </c>
      <c r="G119" s="4" t="s">
        <v>14</v>
      </c>
      <c r="H119" s="4" t="s">
        <v>20</v>
      </c>
    </row>
    <row r="120" customFormat="false" ht="15" hidden="false" customHeight="false" outlineLevel="0" collapsed="false">
      <c r="A120" s="2" t="s">
        <v>30</v>
      </c>
      <c r="B120" s="2" t="s">
        <v>25</v>
      </c>
      <c r="C120" s="2" t="n">
        <v>24</v>
      </c>
      <c r="D120" s="2" t="n">
        <v>149</v>
      </c>
      <c r="E120" s="3" t="n">
        <f aca="false">C120*D120</f>
        <v>3576</v>
      </c>
      <c r="F120" s="2" t="s">
        <v>16</v>
      </c>
      <c r="G120" s="2" t="s">
        <v>11</v>
      </c>
      <c r="H120" s="2" t="s">
        <v>12</v>
      </c>
    </row>
    <row r="121" customFormat="false" ht="15" hidden="false" customHeight="false" outlineLevel="0" collapsed="false">
      <c r="A121" s="4" t="s">
        <v>30</v>
      </c>
      <c r="B121" s="4" t="s">
        <v>25</v>
      </c>
      <c r="C121" s="4" t="n">
        <v>80</v>
      </c>
      <c r="D121" s="4" t="n">
        <v>149</v>
      </c>
      <c r="E121" s="5" t="n">
        <f aca="false">C121*D121</f>
        <v>11920</v>
      </c>
      <c r="F121" s="4" t="s">
        <v>17</v>
      </c>
      <c r="G121" s="4" t="s">
        <v>14</v>
      </c>
      <c r="H121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  <col collapsed="false" customWidth="true" hidden="false" outlineLevel="0" max="8" min="8" style="0" width="4"/>
  </cols>
  <sheetData>
    <row r="1" customFormat="false" ht="39.75" hidden="false" customHeight="true" outlineLevel="0" collapsed="false">
      <c r="A1" s="6" t="s">
        <v>31</v>
      </c>
      <c r="B1" s="6"/>
      <c r="C1" s="6"/>
      <c r="D1" s="6"/>
      <c r="E1" s="6"/>
      <c r="F1" s="6"/>
      <c r="G1" s="6"/>
      <c r="H1" s="6"/>
    </row>
    <row r="2" customFormat="false" ht="21.75" hidden="false" customHeight="true" outlineLevel="0" collapsed="false">
      <c r="A2" s="7" t="s">
        <v>32</v>
      </c>
      <c r="B2" s="7"/>
      <c r="C2" s="7"/>
      <c r="D2" s="7"/>
      <c r="E2" s="7"/>
      <c r="F2" s="7"/>
      <c r="G2" s="7"/>
      <c r="H2" s="7"/>
    </row>
    <row r="4" customFormat="false" ht="21.75" hidden="false" customHeight="true" outlineLevel="0" collapsed="false">
      <c r="A4" s="8" t="s">
        <v>33</v>
      </c>
      <c r="B4" s="8"/>
      <c r="C4" s="9" t="s">
        <v>34</v>
      </c>
      <c r="D4" s="9"/>
      <c r="E4" s="10" t="s">
        <v>35</v>
      </c>
      <c r="F4" s="10"/>
      <c r="G4" s="11" t="s">
        <v>36</v>
      </c>
      <c r="H4" s="11"/>
    </row>
    <row r="5" customFormat="false" ht="36" hidden="false" customHeight="true" outlineLevel="0" collapsed="false">
      <c r="A5" s="12" t="n">
        <f aca="false">G16</f>
        <v>1526379</v>
      </c>
      <c r="B5" s="12"/>
      <c r="C5" s="13" t="n">
        <f aca="false">SUMPRODUCT(('Sales Data'!A2:A481&lt;&gt;"")*'Sales Data'!C2:C481)</f>
        <v>5421</v>
      </c>
      <c r="D5" s="13"/>
      <c r="E5" s="14" t="n">
        <f aca="false">G16/6</f>
        <v>254396.5</v>
      </c>
      <c r="F5" s="14"/>
      <c r="G5" s="15" t="str">
        <f aca="false">INDEX(B9:F9,MATCH(MAX(B16:F16),B16:F16,0))</f>
        <v>AI Assist</v>
      </c>
      <c r="H5" s="15"/>
    </row>
    <row r="6" customFormat="false" ht="18" hidden="false" customHeight="true" outlineLevel="0" collapsed="false">
      <c r="A6" s="16" t="s">
        <v>37</v>
      </c>
      <c r="B6" s="16"/>
      <c r="C6" s="16" t="s">
        <v>38</v>
      </c>
      <c r="D6" s="16"/>
      <c r="E6" s="16" t="s">
        <v>39</v>
      </c>
      <c r="F6" s="16"/>
      <c r="G6" s="16" t="s">
        <v>40</v>
      </c>
      <c r="H6" s="16"/>
    </row>
    <row r="8" customFormat="false" ht="25.5" hidden="false" customHeight="true" outlineLevel="0" collapsed="false">
      <c r="A8" s="17" t="s">
        <v>41</v>
      </c>
      <c r="B8" s="17"/>
      <c r="C8" s="17"/>
      <c r="D8" s="17"/>
      <c r="E8" s="17"/>
      <c r="F8" s="17"/>
      <c r="G8" s="17"/>
      <c r="H8" s="17"/>
    </row>
    <row r="9" customFormat="false" ht="15" hidden="false" customHeight="false" outlineLevel="0" collapsed="false">
      <c r="A9" s="18" t="s">
        <v>0</v>
      </c>
      <c r="B9" s="18" t="s">
        <v>9</v>
      </c>
      <c r="C9" s="18" t="s">
        <v>18</v>
      </c>
      <c r="D9" s="18" t="s">
        <v>21</v>
      </c>
      <c r="E9" s="18" t="s">
        <v>24</v>
      </c>
      <c r="F9" s="18" t="s">
        <v>25</v>
      </c>
      <c r="G9" s="18" t="s">
        <v>42</v>
      </c>
    </row>
    <row r="10" customFormat="false" ht="15" hidden="false" customHeight="false" outlineLevel="0" collapsed="false">
      <c r="A10" s="19" t="s">
        <v>8</v>
      </c>
      <c r="B10" s="3" t="n">
        <f aca="false">SUMPRODUCT(('Sales Data'!A$2:A$481="Jan 2025")*('Sales Data'!B$2:B$481="CloudSync Pro")*'Sales Data'!E$2:E$481)</f>
        <v>52325</v>
      </c>
      <c r="C10" s="3" t="n">
        <f aca="false">SUMPRODUCT(('Sales Data'!A$2:A$481="Jan 2025")*('Sales Data'!B$2:B$481="DataVault")*'Sales Data'!E$2:E$481)</f>
        <v>38606</v>
      </c>
      <c r="D10" s="3" t="n">
        <f aca="false">SUMPRODUCT(('Sales Data'!A$2:A$481="Jan 2025")*('Sales Data'!B$2:B$481="SecureAPI")*'Sales Data'!E$2:E$481)</f>
        <v>79024</v>
      </c>
      <c r="E10" s="3" t="n">
        <f aca="false">SUMPRODUCT(('Sales Data'!A$2:A$481="Jan 2025")*('Sales Data'!B$2:B$481="AI Assist")*'Sales Data'!E$2:E$481)</f>
        <v>54444</v>
      </c>
      <c r="F10" s="3" t="n">
        <f aca="false">SUMPRODUCT(('Sales Data'!A$2:A$481="Jan 2025")*('Sales Data'!B$2:B$481="TeamFlow")*'Sales Data'!E$2:E$481)</f>
        <v>26522</v>
      </c>
      <c r="G10" s="20" t="n">
        <f aca="false">SUM(B10:F10)</f>
        <v>250921</v>
      </c>
    </row>
    <row r="11" customFormat="false" ht="15" hidden="false" customHeight="false" outlineLevel="0" collapsed="false">
      <c r="A11" s="19" t="s">
        <v>26</v>
      </c>
      <c r="B11" s="5" t="n">
        <f aca="false">SUMPRODUCT(('Sales Data'!A$2:A$481="Feb 2025")*('Sales Data'!B$2:B$481="CloudSync Pro")*'Sales Data'!E$2:E$481)</f>
        <v>58305</v>
      </c>
      <c r="C11" s="5" t="n">
        <f aca="false">SUMPRODUCT(('Sales Data'!A$2:A$481="Feb 2025")*('Sales Data'!B$2:B$481="DataVault")*'Sales Data'!E$2:E$481)</f>
        <v>34626</v>
      </c>
      <c r="D11" s="5" t="n">
        <f aca="false">SUMPRODUCT(('Sales Data'!A$2:A$481="Feb 2025")*('Sales Data'!B$2:B$481="SecureAPI")*'Sales Data'!E$2:E$481)</f>
        <v>78575</v>
      </c>
      <c r="E11" s="5" t="n">
        <f aca="false">SUMPRODUCT(('Sales Data'!A$2:A$481="Feb 2025")*('Sales Data'!B$2:B$481="AI Assist")*'Sales Data'!E$2:E$481)</f>
        <v>76082</v>
      </c>
      <c r="F11" s="5" t="n">
        <f aca="false">SUMPRODUCT(('Sales Data'!A$2:A$481="Feb 2025")*('Sales Data'!B$2:B$481="TeamFlow")*'Sales Data'!E$2:E$481)</f>
        <v>40677</v>
      </c>
      <c r="G11" s="20" t="n">
        <f aca="false">SUM(B11:F11)</f>
        <v>288265</v>
      </c>
    </row>
    <row r="12" customFormat="false" ht="15" hidden="false" customHeight="false" outlineLevel="0" collapsed="false">
      <c r="A12" s="19" t="s">
        <v>27</v>
      </c>
      <c r="B12" s="3" t="n">
        <f aca="false">SUMPRODUCT(('Sales Data'!A$2:A$481="Mar 2025")*('Sales Data'!B$2:B$481="CloudSync Pro")*'Sales Data'!E$2:E$481)</f>
        <v>39767</v>
      </c>
      <c r="C12" s="3" t="n">
        <f aca="false">SUMPRODUCT(('Sales Data'!A$2:A$481="Mar 2025")*('Sales Data'!B$2:B$481="DataVault")*'Sales Data'!E$2:E$481)</f>
        <v>44178</v>
      </c>
      <c r="D12" s="3" t="n">
        <f aca="false">SUMPRODUCT(('Sales Data'!A$2:A$481="Mar 2025")*('Sales Data'!B$2:B$481="SecureAPI")*'Sales Data'!E$2:E$481)</f>
        <v>56125</v>
      </c>
      <c r="E12" s="3" t="n">
        <f aca="false">SUMPRODUCT(('Sales Data'!A$2:A$481="Mar 2025")*('Sales Data'!B$2:B$481="AI Assist")*'Sales Data'!E$2:E$481)</f>
        <v>58632</v>
      </c>
      <c r="F12" s="3" t="n">
        <f aca="false">SUMPRODUCT(('Sales Data'!A$2:A$481="Mar 2025")*('Sales Data'!B$2:B$481="TeamFlow")*'Sales Data'!E$2:E$481)</f>
        <v>20115</v>
      </c>
      <c r="G12" s="20" t="n">
        <f aca="false">SUM(B12:F12)</f>
        <v>218817</v>
      </c>
    </row>
    <row r="13" customFormat="false" ht="15" hidden="false" customHeight="false" outlineLevel="0" collapsed="false">
      <c r="A13" s="19" t="s">
        <v>28</v>
      </c>
      <c r="B13" s="5" t="n">
        <f aca="false">SUMPRODUCT(('Sales Data'!A$2:A$481="Apr 2025")*('Sales Data'!B$2:B$481="CloudSync Pro")*'Sales Data'!E$2:E$481)</f>
        <v>63388</v>
      </c>
      <c r="C13" s="5" t="n">
        <f aca="false">SUMPRODUCT(('Sales Data'!A$2:A$481="Apr 2025")*('Sales Data'!B$2:B$481="DataVault")*'Sales Data'!E$2:E$481)</f>
        <v>34626</v>
      </c>
      <c r="D13" s="5" t="n">
        <f aca="false">SUMPRODUCT(('Sales Data'!A$2:A$481="Apr 2025")*('Sales Data'!B$2:B$481="SecureAPI")*'Sales Data'!E$2:E$481)</f>
        <v>35920</v>
      </c>
      <c r="E13" s="5" t="n">
        <f aca="false">SUMPRODUCT(('Sales Data'!A$2:A$481="Apr 2025")*('Sales Data'!B$2:B$481="AI Assist")*'Sales Data'!E$2:E$481)</f>
        <v>84807</v>
      </c>
      <c r="F13" s="5" t="n">
        <f aca="false">SUMPRODUCT(('Sales Data'!A$2:A$481="Apr 2025")*('Sales Data'!B$2:B$481="TeamFlow")*'Sales Data'!E$2:E$481)</f>
        <v>24436</v>
      </c>
      <c r="G13" s="20" t="n">
        <f aca="false">SUM(B13:F13)</f>
        <v>243177</v>
      </c>
    </row>
    <row r="14" customFormat="false" ht="15" hidden="false" customHeight="false" outlineLevel="0" collapsed="false">
      <c r="A14" s="19" t="s">
        <v>29</v>
      </c>
      <c r="B14" s="3" t="n">
        <f aca="false">SUMPRODUCT(('Sales Data'!A$2:A$481="May 2025")*('Sales Data'!B$2:B$481="CloudSync Pro")*'Sales Data'!E$2:E$481)</f>
        <v>72956</v>
      </c>
      <c r="C14" s="3" t="n">
        <f aca="false">SUMPRODUCT(('Sales Data'!A$2:A$481="May 2025")*('Sales Data'!B$2:B$481="DataVault")*'Sales Data'!E$2:E$481)</f>
        <v>34228</v>
      </c>
      <c r="D14" s="3" t="n">
        <f aca="false">SUMPRODUCT(('Sales Data'!A$2:A$481="May 2025")*('Sales Data'!B$2:B$481="SecureAPI")*'Sales Data'!E$2:E$481)</f>
        <v>84861</v>
      </c>
      <c r="E14" s="3" t="n">
        <f aca="false">SUMPRODUCT(('Sales Data'!A$2:A$481="May 2025")*('Sales Data'!B$2:B$481="AI Assist")*'Sales Data'!E$2:E$481)</f>
        <v>85156</v>
      </c>
      <c r="F14" s="3" t="n">
        <f aca="false">SUMPRODUCT(('Sales Data'!A$2:A$481="May 2025")*('Sales Data'!B$2:B$481="TeamFlow")*'Sales Data'!E$2:E$481)</f>
        <v>25479</v>
      </c>
      <c r="G14" s="20" t="n">
        <f aca="false">SUM(B14:F14)</f>
        <v>302680</v>
      </c>
    </row>
    <row r="15" customFormat="false" ht="15" hidden="false" customHeight="false" outlineLevel="0" collapsed="false">
      <c r="A15" s="19" t="s">
        <v>30</v>
      </c>
      <c r="B15" s="5" t="n">
        <f aca="false">SUMPRODUCT(('Sales Data'!A$2:A$481="Jun 2025")*('Sales Data'!B$2:B$481="CloudSync Pro")*'Sales Data'!E$2:E$481)</f>
        <v>36179</v>
      </c>
      <c r="C15" s="5" t="n">
        <f aca="false">SUMPRODUCT(('Sales Data'!A$2:A$481="Jun 2025")*('Sales Data'!B$2:B$481="DataVault")*'Sales Data'!E$2:E$481)</f>
        <v>40397</v>
      </c>
      <c r="D15" s="5" t="n">
        <f aca="false">SUMPRODUCT(('Sales Data'!A$2:A$481="Jun 2025")*('Sales Data'!B$2:B$481="SecureAPI")*'Sales Data'!E$2:E$481)</f>
        <v>46696</v>
      </c>
      <c r="E15" s="5" t="n">
        <f aca="false">SUMPRODUCT(('Sales Data'!A$2:A$481="Jun 2025")*('Sales Data'!B$2:B$481="AI Assist")*'Sales Data'!E$2:E$481)</f>
        <v>68404</v>
      </c>
      <c r="F15" s="5" t="n">
        <f aca="false">SUMPRODUCT(('Sales Data'!A$2:A$481="Jun 2025")*('Sales Data'!B$2:B$481="TeamFlow")*'Sales Data'!E$2:E$481)</f>
        <v>30843</v>
      </c>
      <c r="G15" s="20" t="n">
        <f aca="false">SUM(B15:F15)</f>
        <v>222519</v>
      </c>
    </row>
    <row r="16" customFormat="false" ht="15" hidden="false" customHeight="false" outlineLevel="0" collapsed="false">
      <c r="A16" s="21" t="s">
        <v>43</v>
      </c>
      <c r="B16" s="22" t="n">
        <f aca="false">SUM(B10:B15)</f>
        <v>322920</v>
      </c>
      <c r="C16" s="22" t="n">
        <f aca="false">SUM(C10:C15)</f>
        <v>226661</v>
      </c>
      <c r="D16" s="22" t="n">
        <f aca="false">SUM(D10:D15)</f>
        <v>381201</v>
      </c>
      <c r="E16" s="22" t="n">
        <f aca="false">SUM(E10:E15)</f>
        <v>427525</v>
      </c>
      <c r="F16" s="22" t="n">
        <f aca="false">SUM(F10:F15)</f>
        <v>168072</v>
      </c>
      <c r="G16" s="22" t="n">
        <f aca="false">SUM(G10:G15)</f>
        <v>1526379</v>
      </c>
    </row>
  </sheetData>
  <mergeCells count="15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  <col collapsed="false" customWidth="true" hidden="false" outlineLevel="0" max="8" min="8" style="0" width="14"/>
  </cols>
  <sheetData>
    <row r="1" customFormat="false" ht="36" hidden="false" customHeight="true" outlineLevel="0" collapsed="false">
      <c r="A1" s="23" t="s">
        <v>44</v>
      </c>
      <c r="B1" s="23"/>
      <c r="C1" s="23"/>
      <c r="D1" s="23"/>
      <c r="E1" s="23"/>
      <c r="F1" s="23"/>
    </row>
    <row r="2" customFormat="false" ht="15" hidden="false" customHeight="false" outlineLevel="0" collapsed="false">
      <c r="A2" s="24" t="s">
        <v>5</v>
      </c>
      <c r="B2" s="24" t="s">
        <v>45</v>
      </c>
      <c r="C2" s="24" t="s">
        <v>46</v>
      </c>
      <c r="D2" s="24" t="s">
        <v>47</v>
      </c>
      <c r="E2" s="24" t="s">
        <v>48</v>
      </c>
      <c r="F2" s="24" t="s">
        <v>49</v>
      </c>
      <c r="G2" s="24" t="s">
        <v>50</v>
      </c>
      <c r="H2" s="24" t="s">
        <v>51</v>
      </c>
    </row>
    <row r="3" customFormat="false" ht="15" hidden="false" customHeight="false" outlineLevel="0" collapsed="false">
      <c r="A3" s="25" t="s">
        <v>10</v>
      </c>
      <c r="B3" s="5" t="n">
        <f aca="false">SUMPRODUCT(('Sales Data'!A$2:A$481="Jan 2025")*('Sales Data'!F$2:F$481="Southeast")*'Sales Data'!E$2:E$481)</f>
        <v>53643</v>
      </c>
      <c r="C3" s="5" t="n">
        <f aca="false">SUMPRODUCT(('Sales Data'!A$2:A$481="Feb 2025")*('Sales Data'!F$2:F$481="Southeast")*'Sales Data'!E$2:E$481)</f>
        <v>66551</v>
      </c>
      <c r="D3" s="5" t="n">
        <f aca="false">SUMPRODUCT(('Sales Data'!A$2:A$481="Mar 2025")*('Sales Data'!F$2:F$481="Southeast")*'Sales Data'!E$2:E$481)</f>
        <v>38197</v>
      </c>
      <c r="E3" s="5" t="n">
        <f aca="false">SUMPRODUCT(('Sales Data'!A$2:A$481="Apr 2025")*('Sales Data'!F$2:F$481="Southeast")*'Sales Data'!E$2:E$481)</f>
        <v>85197</v>
      </c>
      <c r="F3" s="5" t="n">
        <f aca="false">SUMPRODUCT(('Sales Data'!A$2:A$481="May 2025")*('Sales Data'!F$2:F$481="Southeast")*'Sales Data'!E$2:E$481)</f>
        <v>83312</v>
      </c>
      <c r="G3" s="5" t="n">
        <f aca="false">SUMPRODUCT(('Sales Data'!A$2:A$481="Jun 2025")*('Sales Data'!F$2:F$481="Southeast")*'Sales Data'!E$2:E$481)</f>
        <v>55266</v>
      </c>
      <c r="H3" s="26" t="n">
        <f aca="false">SUM(B3:G3)</f>
        <v>382166</v>
      </c>
    </row>
    <row r="4" customFormat="false" ht="15" hidden="false" customHeight="false" outlineLevel="0" collapsed="false">
      <c r="A4" s="25" t="s">
        <v>13</v>
      </c>
      <c r="B4" s="3" t="n">
        <f aca="false">SUMPRODUCT(('Sales Data'!A$2:A$481="Jan 2025")*('Sales Data'!F$2:F$481="Northeast")*'Sales Data'!E$2:E$481)</f>
        <v>52520</v>
      </c>
      <c r="C4" s="3" t="n">
        <f aca="false">SUMPRODUCT(('Sales Data'!A$2:A$481="Feb 2025")*('Sales Data'!F$2:F$481="Northeast")*'Sales Data'!E$2:E$481)</f>
        <v>72148</v>
      </c>
      <c r="D4" s="3" t="n">
        <f aca="false">SUMPRODUCT(('Sales Data'!A$2:A$481="Mar 2025")*('Sales Data'!F$2:F$481="Northeast")*'Sales Data'!E$2:E$481)</f>
        <v>34584</v>
      </c>
      <c r="E4" s="3" t="n">
        <f aca="false">SUMPRODUCT(('Sales Data'!A$2:A$481="Apr 2025")*('Sales Data'!F$2:F$481="Northeast")*'Sales Data'!E$2:E$481)</f>
        <v>59086</v>
      </c>
      <c r="F4" s="3" t="n">
        <f aca="false">SUMPRODUCT(('Sales Data'!A$2:A$481="May 2025")*('Sales Data'!F$2:F$481="Northeast")*'Sales Data'!E$2:E$481)</f>
        <v>77713</v>
      </c>
      <c r="G4" s="3" t="n">
        <f aca="false">SUMPRODUCT(('Sales Data'!A$2:A$481="Jun 2025")*('Sales Data'!F$2:F$481="Northeast")*'Sales Data'!E$2:E$481)</f>
        <v>38414</v>
      </c>
      <c r="H4" s="26" t="n">
        <f aca="false">SUM(B4:G4)</f>
        <v>334465</v>
      </c>
    </row>
    <row r="5" customFormat="false" ht="15" hidden="false" customHeight="false" outlineLevel="0" collapsed="false">
      <c r="A5" s="25" t="s">
        <v>16</v>
      </c>
      <c r="B5" s="5" t="n">
        <f aca="false">SUMPRODUCT(('Sales Data'!A$2:A$481="Jan 2025")*('Sales Data'!F$2:F$481="Midwest")*'Sales Data'!E$2:E$481)</f>
        <v>71608</v>
      </c>
      <c r="C5" s="5" t="n">
        <f aca="false">SUMPRODUCT(('Sales Data'!A$2:A$481="Feb 2025")*('Sales Data'!F$2:F$481="Midwest")*'Sales Data'!E$2:E$481)</f>
        <v>84368</v>
      </c>
      <c r="D5" s="5" t="n">
        <f aca="false">SUMPRODUCT(('Sales Data'!A$2:A$481="Mar 2025")*('Sales Data'!F$2:F$481="Midwest")*'Sales Data'!E$2:E$481)</f>
        <v>73337</v>
      </c>
      <c r="E5" s="5" t="n">
        <f aca="false">SUMPRODUCT(('Sales Data'!A$2:A$481="Apr 2025")*('Sales Data'!F$2:F$481="Midwest")*'Sales Data'!E$2:E$481)</f>
        <v>52941</v>
      </c>
      <c r="F5" s="5" t="n">
        <f aca="false">SUMPRODUCT(('Sales Data'!A$2:A$481="May 2025")*('Sales Data'!F$2:F$481="Midwest")*'Sales Data'!E$2:E$481)</f>
        <v>61298</v>
      </c>
      <c r="G5" s="5" t="n">
        <f aca="false">SUMPRODUCT(('Sales Data'!A$2:A$481="Jun 2025")*('Sales Data'!F$2:F$481="Midwest")*'Sales Data'!E$2:E$481)</f>
        <v>49983</v>
      </c>
      <c r="H5" s="26" t="n">
        <f aca="false">SUM(B5:G5)</f>
        <v>393535</v>
      </c>
    </row>
    <row r="6" customFormat="false" ht="15" hidden="false" customHeight="false" outlineLevel="0" collapsed="false">
      <c r="A6" s="25" t="s">
        <v>17</v>
      </c>
      <c r="B6" s="3" t="n">
        <f aca="false">SUMPRODUCT(('Sales Data'!A$2:A$481="Jan 2025")*('Sales Data'!F$2:F$481="West")*'Sales Data'!E$2:E$481)</f>
        <v>73150</v>
      </c>
      <c r="C6" s="3" t="n">
        <f aca="false">SUMPRODUCT(('Sales Data'!A$2:A$481="Feb 2025")*('Sales Data'!F$2:F$481="West")*'Sales Data'!E$2:E$481)</f>
        <v>65198</v>
      </c>
      <c r="D6" s="3" t="n">
        <f aca="false">SUMPRODUCT(('Sales Data'!A$2:A$481="Mar 2025")*('Sales Data'!F$2:F$481="West")*'Sales Data'!E$2:E$481)</f>
        <v>72699</v>
      </c>
      <c r="E6" s="3" t="n">
        <f aca="false">SUMPRODUCT(('Sales Data'!A$2:A$481="Apr 2025")*('Sales Data'!F$2:F$481="West")*'Sales Data'!E$2:E$481)</f>
        <v>45953</v>
      </c>
      <c r="F6" s="3" t="n">
        <f aca="false">SUMPRODUCT(('Sales Data'!A$2:A$481="May 2025")*('Sales Data'!F$2:F$481="West")*'Sales Data'!E$2:E$481)</f>
        <v>80357</v>
      </c>
      <c r="G6" s="3" t="n">
        <f aca="false">SUMPRODUCT(('Sales Data'!A$2:A$481="Jun 2025")*('Sales Data'!F$2:F$481="West")*'Sales Data'!E$2:E$481)</f>
        <v>78856</v>
      </c>
      <c r="H6" s="26" t="n">
        <f aca="false">SUM(B6:G6)</f>
        <v>416213</v>
      </c>
    </row>
    <row r="7" customFormat="false" ht="15" hidden="false" customHeight="false" outlineLevel="0" collapsed="false">
      <c r="A7" s="27" t="s">
        <v>43</v>
      </c>
      <c r="B7" s="28" t="n">
        <f aca="false">SUM(B3:B6)</f>
        <v>250921</v>
      </c>
      <c r="C7" s="28" t="n">
        <f aca="false">SUM(C3:C6)</f>
        <v>288265</v>
      </c>
      <c r="D7" s="28" t="n">
        <f aca="false">SUM(D3:D6)</f>
        <v>218817</v>
      </c>
      <c r="E7" s="28" t="n">
        <f aca="false">SUM(E3:E6)</f>
        <v>243177</v>
      </c>
      <c r="F7" s="28" t="n">
        <f aca="false">SUM(F3:F6)</f>
        <v>302680</v>
      </c>
      <c r="G7" s="28" t="n">
        <f aca="false">SUM(G3:G6)</f>
        <v>222519</v>
      </c>
      <c r="H7" s="28" t="n">
        <f aca="false">SUM(H3:H6)</f>
        <v>1526379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2026-04-23T20:25:55Z</dcterms:created>
  <dc:creator>openpyxl</dc:creator>
  <dc:description/>
  <dc:language>en-US</dc:language>
  <cp:lastModifiedBy/>
  <dcterms:modified xsi:type="dcterms:W3CDTF">2026-04-23T20:26:07Z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